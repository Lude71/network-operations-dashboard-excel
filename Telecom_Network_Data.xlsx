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https://d.docs.live.net/204b821a078d3e57/Documents/EXCEL PROJECTS/"/>
    </mc:Choice>
  </mc:AlternateContent>
  <xr:revisionPtr revIDLastSave="0" documentId="14_{821F6351-543C-4C10-83AA-04BE5FB2CE12}" xr6:coauthVersionLast="47" xr6:coauthVersionMax="47" xr10:uidLastSave="{00000000-0000-0000-0000-000000000000}"/>
  <bookViews>
    <workbookView xWindow="-120" yWindow="-120" windowWidth="20730" windowHeight="11040" xr2:uid="{7D8BE319-0488-416D-A02A-B4C2F158AC79}"/>
  </bookViews>
  <sheets>
    <sheet name="Raw Data" sheetId="1" r:id="rId1"/>
    <sheet name="Tower Search" sheetId="4" r:id="rId2"/>
    <sheet name="Pivot Analysis" sheetId="3" r:id="rId3"/>
    <sheet name="Dashboard" sheetId="2" r:id="rId4"/>
  </sheets>
  <definedNames>
    <definedName name="Slicer_NetworkType">#N/A</definedName>
    <definedName name="Slicer_Region">#N/A</definedName>
  </definedNames>
  <calcPr calcId="191029"/>
  <pivotCaches>
    <pivotCache cacheId="8"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4" i="4" l="1"/>
  <c r="C3" i="4"/>
  <c r="L2" i="1"/>
  <c r="N8" i="1" s="1"/>
  <c r="L3" i="1"/>
  <c r="L4" i="1"/>
  <c r="L5" i="1"/>
  <c r="L6" i="1"/>
  <c r="L7" i="1"/>
  <c r="L8" i="1"/>
  <c r="L9" i="1"/>
  <c r="L10" i="1"/>
  <c r="L11" i="1"/>
  <c r="L12" i="1"/>
  <c r="L13" i="1"/>
  <c r="L14" i="1"/>
  <c r="L15" i="1"/>
  <c r="L16" i="1"/>
  <c r="L17" i="1"/>
  <c r="L18" i="1"/>
  <c r="L19" i="1"/>
  <c r="L20" i="1"/>
  <c r="L21" i="1"/>
  <c r="B53" i="3"/>
  <c r="M6" i="2" s="1"/>
  <c r="B29" i="3"/>
  <c r="A6" i="2" s="1"/>
  <c r="B19" i="3"/>
  <c r="I6" i="2" s="1"/>
  <c r="B9" i="3"/>
  <c r="E6" i="2" s="1"/>
  <c r="N4" i="1" l="1"/>
  <c r="N3" i="1"/>
  <c r="N2" i="1"/>
  <c r="N6" i="1"/>
  <c r="N7" i="1"/>
</calcChain>
</file>

<file path=xl/sharedStrings.xml><?xml version="1.0" encoding="utf-8"?>
<sst xmlns="http://schemas.openxmlformats.org/spreadsheetml/2006/main" count="145" uniqueCount="67">
  <si>
    <t>TowerID</t>
  </si>
  <si>
    <t>Region</t>
  </si>
  <si>
    <t>NetworkType</t>
  </si>
  <si>
    <t>SignalStrength_dBm</t>
  </si>
  <si>
    <t>DataUsage_GB</t>
  </si>
  <si>
    <t>CallDropRate_Percent</t>
  </si>
  <si>
    <t>Latency_ms</t>
  </si>
  <si>
    <t>Uptime_Percent</t>
  </si>
  <si>
    <t>Downtime_Hours</t>
  </si>
  <si>
    <t>ActiveUsers</t>
  </si>
  <si>
    <t>Date</t>
  </si>
  <si>
    <t>TWR001</t>
  </si>
  <si>
    <t>Nairobi</t>
  </si>
  <si>
    <t>5G</t>
  </si>
  <si>
    <t>TWR002</t>
  </si>
  <si>
    <t>Mombasa</t>
  </si>
  <si>
    <t>4G</t>
  </si>
  <si>
    <t>TWR003</t>
  </si>
  <si>
    <t>Kisumu</t>
  </si>
  <si>
    <t>TWR004</t>
  </si>
  <si>
    <t>Nakuru</t>
  </si>
  <si>
    <t>TWR005</t>
  </si>
  <si>
    <t>Eldoret</t>
  </si>
  <si>
    <t>TWR006</t>
  </si>
  <si>
    <t>Thika</t>
  </si>
  <si>
    <t>TWR007</t>
  </si>
  <si>
    <t>TWR008</t>
  </si>
  <si>
    <t>TWR009</t>
  </si>
  <si>
    <t>TWR010</t>
  </si>
  <si>
    <t>TWR011</t>
  </si>
  <si>
    <t>TWR012</t>
  </si>
  <si>
    <t>TWR013</t>
  </si>
  <si>
    <t>TWR014</t>
  </si>
  <si>
    <t>TWR015</t>
  </si>
  <si>
    <t>TWR016</t>
  </si>
  <si>
    <t>TWR017</t>
  </si>
  <si>
    <t>TWR018</t>
  </si>
  <si>
    <t>TWR019</t>
  </si>
  <si>
    <t>TWR020</t>
  </si>
  <si>
    <t>Row Labels</t>
  </si>
  <si>
    <t>Grand Total</t>
  </si>
  <si>
    <t>Sum of DataUsage_GB</t>
  </si>
  <si>
    <t>Average of SignalStrength_dBm</t>
  </si>
  <si>
    <t>Sum of ActiveUsers</t>
  </si>
  <si>
    <t>Telecom Network Performance Dashboard</t>
  </si>
  <si>
    <t>Total Active Users</t>
  </si>
  <si>
    <t>Total Data Usage</t>
  </si>
  <si>
    <t>Avg Signal Strength</t>
  </si>
  <si>
    <t>Avg Downtime</t>
  </si>
  <si>
    <t>Average of Downtime_Hours</t>
  </si>
  <si>
    <t>hrs</t>
  </si>
  <si>
    <t>GB</t>
  </si>
  <si>
    <t>dBm</t>
  </si>
  <si>
    <t>Key Telecom Insights</t>
  </si>
  <si>
    <t>Signal_Status</t>
  </si>
  <si>
    <t>Weak Towers</t>
  </si>
  <si>
    <t>Strong Towers</t>
  </si>
  <si>
    <t>Moderate Towers</t>
  </si>
  <si>
    <t>Weak Tower Data Usage</t>
  </si>
  <si>
    <t>Strong Tower Data Usage</t>
  </si>
  <si>
    <t>Moderate Tower Data Usage</t>
  </si>
  <si>
    <t>Enter Tower ID</t>
  </si>
  <si>
    <t>Network Type</t>
  </si>
  <si>
    <t>• Nairobi region records highest data usage</t>
  </si>
  <si>
    <t>• Some weak-signal towers still handle heavy traffic</t>
  </si>
  <si>
    <t>• Downtime varies significantly across regions</t>
  </si>
  <si>
    <t>• 5G towers show increased user activity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</si>
</sst>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70" formatCode="_(* #,##0_);_(* \(#,##0\);_(* &quot;-&quot;??_);_(@_)"/>
  </numFmts>
  <fonts count="7" x14ac:knownFonts="1">
    <font>
      <sz val="11"/>
      <color theme="1"/>
      <name val="Calibri"/>
      <family val="2"/>
      <scheme val="minor"/>
    </font>
    <font>
      <b/>
      <sz val="12"/>
      <color theme="1"/>
      <name val="Calibri"/>
      <family val="2"/>
      <scheme val="minor"/>
    </font>
    <font>
      <sz val="11"/>
      <color theme="1"/>
      <name val="Calibri"/>
      <family val="2"/>
      <scheme val="minor"/>
    </font>
    <font>
      <b/>
      <sz val="11"/>
      <color theme="1"/>
      <name val="Calibri"/>
      <family val="2"/>
      <scheme val="minor"/>
    </font>
    <font>
      <b/>
      <sz val="26"/>
      <color theme="0"/>
      <name val="Calibri"/>
      <family val="2"/>
      <scheme val="minor"/>
    </font>
    <font>
      <b/>
      <sz val="18"/>
      <color theme="1"/>
      <name val="Calibri"/>
      <family val="2"/>
      <scheme val="minor"/>
    </font>
    <font>
      <b/>
      <sz val="14"/>
      <color theme="1"/>
      <name val="Calibri"/>
      <family val="2"/>
      <scheme val="minor"/>
    </font>
  </fonts>
  <fills count="7">
    <fill>
      <patternFill patternType="none"/>
    </fill>
    <fill>
      <patternFill patternType="gray125"/>
    </fill>
    <fill>
      <patternFill patternType="solid">
        <fgColor rgb="FF002060"/>
        <bgColor indexed="64"/>
      </patternFill>
    </fill>
    <fill>
      <patternFill patternType="solid">
        <fgColor theme="4"/>
        <bgColor indexed="64"/>
      </patternFill>
    </fill>
    <fill>
      <patternFill patternType="solid">
        <fgColor rgb="FF00B050"/>
        <bgColor indexed="64"/>
      </patternFill>
    </fill>
    <fill>
      <patternFill patternType="solid">
        <fgColor rgb="FF7030A0"/>
        <bgColor indexed="64"/>
      </patternFill>
    </fill>
    <fill>
      <patternFill patternType="solid">
        <fgColor rgb="FFFFFF00"/>
        <bgColor indexed="64"/>
      </patternFill>
    </fill>
  </fills>
  <borders count="8">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43" fontId="2" fillId="0" borderId="0" applyFont="0" applyFill="0" applyBorder="0" applyAlignment="0" applyProtection="0"/>
  </cellStyleXfs>
  <cellXfs count="37">
    <xf numFmtId="0" fontId="0" fillId="0" borderId="0" xfId="0"/>
    <xf numFmtId="0" fontId="1" fillId="0" borderId="0" xfId="0" applyFont="1"/>
    <xf numFmtId="0" fontId="1" fillId="0" borderId="0" xfId="0" applyFont="1" applyAlignment="1">
      <alignment horizontal="center"/>
    </xf>
    <xf numFmtId="0" fontId="0" fillId="0" borderId="0" xfId="0" applyAlignment="1">
      <alignment horizontal="center"/>
    </xf>
    <xf numFmtId="14" fontId="0" fillId="0" borderId="0" xfId="0" applyNumberFormat="1" applyAlignment="1">
      <alignment horizontal="center"/>
    </xf>
    <xf numFmtId="0" fontId="0" fillId="0" borderId="0" xfId="0" pivotButton="1"/>
    <xf numFmtId="0" fontId="0" fillId="0" borderId="0" xfId="0" applyAlignment="1">
      <alignment horizontal="left"/>
    </xf>
    <xf numFmtId="0" fontId="0" fillId="0" borderId="0" xfId="0" applyNumberFormat="1"/>
    <xf numFmtId="1" fontId="0" fillId="0" borderId="0" xfId="0" applyNumberFormat="1"/>
    <xf numFmtId="0" fontId="4" fillId="2" borderId="0" xfId="0" applyFont="1" applyFill="1" applyAlignment="1">
      <alignment horizontal="left" indent="15"/>
    </xf>
    <xf numFmtId="0" fontId="3" fillId="0" borderId="0" xfId="0" applyFont="1"/>
    <xf numFmtId="0" fontId="5" fillId="0" borderId="0" xfId="0" applyFont="1"/>
    <xf numFmtId="0" fontId="5" fillId="3" borderId="2" xfId="0" applyFont="1" applyFill="1" applyBorder="1"/>
    <xf numFmtId="0" fontId="5" fillId="3" borderId="3" xfId="0" applyFont="1" applyFill="1" applyBorder="1" applyAlignment="1">
      <alignment horizontal="center"/>
    </xf>
    <xf numFmtId="0" fontId="5" fillId="3" borderId="4" xfId="0" applyFont="1" applyFill="1" applyBorder="1" applyAlignment="1">
      <alignment horizontal="center"/>
    </xf>
    <xf numFmtId="0" fontId="5" fillId="3" borderId="5" xfId="0" applyFont="1" applyFill="1" applyBorder="1"/>
    <xf numFmtId="3" fontId="5" fillId="3" borderId="6" xfId="0" applyNumberFormat="1" applyFont="1" applyFill="1" applyBorder="1" applyAlignment="1">
      <alignment horizontal="left" indent="1"/>
    </xf>
    <xf numFmtId="0" fontId="5" fillId="3" borderId="7" xfId="0" applyFont="1" applyFill="1" applyBorder="1" applyAlignment="1">
      <alignment horizontal="center"/>
    </xf>
    <xf numFmtId="0" fontId="5" fillId="4" borderId="2" xfId="0" applyFont="1" applyFill="1" applyBorder="1"/>
    <xf numFmtId="0" fontId="5" fillId="4" borderId="3" xfId="0" applyFont="1" applyFill="1" applyBorder="1"/>
    <xf numFmtId="0" fontId="0" fillId="4" borderId="4" xfId="0" applyFill="1" applyBorder="1"/>
    <xf numFmtId="1" fontId="5" fillId="4" borderId="5" xfId="0" applyNumberFormat="1" applyFont="1" applyFill="1" applyBorder="1"/>
    <xf numFmtId="170" fontId="5" fillId="4" borderId="6" xfId="1" applyNumberFormat="1" applyFont="1" applyFill="1" applyBorder="1" applyAlignment="1">
      <alignment horizontal="right" indent="10"/>
    </xf>
    <xf numFmtId="0" fontId="0" fillId="4" borderId="7" xfId="0" applyFill="1" applyBorder="1"/>
    <xf numFmtId="0" fontId="5" fillId="5" borderId="2" xfId="0" applyFont="1" applyFill="1" applyBorder="1"/>
    <xf numFmtId="0" fontId="5" fillId="5" borderId="3" xfId="0" applyFont="1" applyFill="1" applyBorder="1"/>
    <xf numFmtId="0" fontId="0" fillId="5" borderId="4" xfId="0" applyFill="1" applyBorder="1"/>
    <xf numFmtId="0" fontId="5" fillId="5" borderId="5" xfId="0" applyFont="1" applyFill="1" applyBorder="1"/>
    <xf numFmtId="0" fontId="5" fillId="5" borderId="6" xfId="0" applyFont="1" applyFill="1" applyBorder="1"/>
    <xf numFmtId="0" fontId="0" fillId="5" borderId="7" xfId="0" applyFill="1" applyBorder="1"/>
    <xf numFmtId="0" fontId="5" fillId="6" borderId="2" xfId="0" applyFont="1" applyFill="1" applyBorder="1"/>
    <xf numFmtId="0" fontId="5" fillId="6" borderId="3" xfId="0" applyFont="1" applyFill="1" applyBorder="1"/>
    <xf numFmtId="0" fontId="5" fillId="6" borderId="4" xfId="0" applyFont="1" applyFill="1" applyBorder="1"/>
    <xf numFmtId="0" fontId="5" fillId="6" borderId="5" xfId="0" applyFont="1" applyFill="1" applyBorder="1"/>
    <xf numFmtId="0" fontId="5" fillId="6" borderId="6" xfId="0" applyFont="1" applyFill="1" applyBorder="1"/>
    <xf numFmtId="0" fontId="5" fillId="6" borderId="7" xfId="0" applyFont="1" applyFill="1" applyBorder="1"/>
    <xf numFmtId="0" fontId="6" fillId="6" borderId="1" xfId="0" applyFont="1" applyFill="1" applyBorder="1"/>
  </cellXfs>
  <cellStyles count="2">
    <cellStyle name="Comma" xfId="1" builtinId="3"/>
    <cellStyle name="Normal" xfId="0" builtinId="0"/>
  </cellStyles>
  <dxfs count="20">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dxf>
    <dxf>
      <font>
        <color rgb="FF9C0006"/>
      </font>
      <fill>
        <patternFill>
          <bgColor rgb="FFFFC7CE"/>
        </patternFill>
      </fill>
    </dxf>
    <dxf>
      <numFmt numFmtId="0" formatCode="General"/>
      <alignment horizontal="center" vertical="bottom" textRotation="0" wrapText="0" indent="0" justifyLastLine="0" shrinkToFit="0" readingOrder="0"/>
    </dxf>
    <dxf>
      <numFmt numFmtId="19" formatCode="m/d/yyyy"/>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[Telecom_Network_Data.xlsx]Pivot Analysis!PivotTable1</c:name>
    <c:fmtId val="2"/>
  </c:pivotSource>
  <c:chart>
    <c:title>
      <c:tx>
        <c:rich>
          <a:bodyPr rot="0" spcFirstLastPara="1" vertOverflow="ellipsis" vert="horz" wrap="square" anchor="ctr" anchorCtr="1"/>
          <a:lstStyle/>
          <a:p>
            <a:pPr algn="ctr" rtl="0">
              <a:defRPr lang="en-US"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latin typeface="+mn-lt"/>
                <a:ea typeface="+mn-ea"/>
                <a:cs typeface="+mn-cs"/>
              </a:rPr>
              <a:t>Data Usage By Region</a:t>
            </a:r>
          </a:p>
        </c:rich>
      </c:tx>
      <c:overlay val="0"/>
      <c:spPr>
        <a:solidFill>
          <a:srgbClr val="FFC000"/>
        </a:solid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'Pivot Analysis'!$B$1</c:f>
              <c:strCache>
                <c:ptCount val="1"/>
                <c:pt idx="0">
                  <c:v>Total</c:v>
                </c:pt>
              </c:strCache>
            </c:strRef>
          </c:tx>
          <c:spPr>
            <a:solidFill>
              <a:schemeClr val="accent1"/>
            </a:solidFill>
            <a:ln>
              <a:noFill/>
            </a:ln>
            <a:effectLst/>
          </c:spPr>
          <c:invertIfNegative val="0"/>
          <c:cat>
            <c:strRef>
              <c:f>'Pivot Analysis'!$A$2:$A$8</c:f>
              <c:strCache>
                <c:ptCount val="6"/>
                <c:pt idx="0">
                  <c:v>Nairobi</c:v>
                </c:pt>
                <c:pt idx="1">
                  <c:v>Kisumu</c:v>
                </c:pt>
                <c:pt idx="2">
                  <c:v>Eldoret</c:v>
                </c:pt>
                <c:pt idx="3">
                  <c:v>Mombasa</c:v>
                </c:pt>
                <c:pt idx="4">
                  <c:v>Nakuru</c:v>
                </c:pt>
                <c:pt idx="5">
                  <c:v>Thika</c:v>
                </c:pt>
              </c:strCache>
            </c:strRef>
          </c:cat>
          <c:val>
            <c:numRef>
              <c:f>'Pivot Analysis'!$B$2:$B$8</c:f>
              <c:numCache>
                <c:formatCode>0</c:formatCode>
                <c:ptCount val="6"/>
                <c:pt idx="0">
                  <c:v>4380</c:v>
                </c:pt>
                <c:pt idx="1">
                  <c:v>2770</c:v>
                </c:pt>
                <c:pt idx="2">
                  <c:v>2010</c:v>
                </c:pt>
                <c:pt idx="3">
                  <c:v>1760</c:v>
                </c:pt>
                <c:pt idx="4">
                  <c:v>1060</c:v>
                </c:pt>
                <c:pt idx="5">
                  <c:v>770</c:v>
                </c:pt>
              </c:numCache>
            </c:numRef>
          </c:val>
          <c:extLst>
            <c:ext xmlns:c16="http://schemas.microsoft.com/office/drawing/2014/chart" uri="{C3380CC4-5D6E-409C-BE32-E72D297353CC}">
              <c16:uniqueId val="{00000004-E395-4101-B882-BFA69F03C1A7}"/>
            </c:ext>
          </c:extLst>
        </c:ser>
        <c:dLbls>
          <c:showLegendKey val="0"/>
          <c:showVal val="0"/>
          <c:showCatName val="0"/>
          <c:showSerName val="0"/>
          <c:showPercent val="0"/>
          <c:showBubbleSize val="0"/>
        </c:dLbls>
        <c:gapWidth val="219"/>
        <c:overlap val="-27"/>
        <c:axId val="1123836112"/>
        <c:axId val="1091421472"/>
      </c:barChart>
      <c:catAx>
        <c:axId val="1123836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1421472"/>
        <c:crosses val="autoZero"/>
        <c:auto val="1"/>
        <c:lblAlgn val="ctr"/>
        <c:lblOffset val="100"/>
        <c:noMultiLvlLbl val="0"/>
      </c:catAx>
      <c:valAx>
        <c:axId val="109142147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3836112"/>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[Telecom_Network_Data.xlsx]Pivot Analysis!PivotTable2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Signal Strength</a:t>
            </a:r>
            <a:endParaRPr lang="en-US"/>
          </a:p>
        </c:rich>
      </c:tx>
      <c:overlay val="0"/>
      <c:spPr>
        <a:solidFill>
          <a:srgbClr val="FFC00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Analysis'!$B$11</c:f>
              <c:strCache>
                <c:ptCount val="1"/>
                <c:pt idx="0">
                  <c:v>Total</c:v>
                </c:pt>
              </c:strCache>
            </c:strRef>
          </c:tx>
          <c:spPr>
            <a:solidFill>
              <a:schemeClr val="accent1"/>
            </a:solidFill>
            <a:ln>
              <a:noFill/>
            </a:ln>
            <a:effectLst/>
          </c:spPr>
          <c:invertIfNegative val="0"/>
          <c:cat>
            <c:strRef>
              <c:f>'Pivot Analysis'!$A$12:$A$18</c:f>
              <c:strCache>
                <c:ptCount val="6"/>
                <c:pt idx="0">
                  <c:v>Nairobi</c:v>
                </c:pt>
                <c:pt idx="1">
                  <c:v>Kisumu</c:v>
                </c:pt>
                <c:pt idx="2">
                  <c:v>Eldoret</c:v>
                </c:pt>
                <c:pt idx="3">
                  <c:v>Mombasa</c:v>
                </c:pt>
                <c:pt idx="4">
                  <c:v>Nakuru</c:v>
                </c:pt>
                <c:pt idx="5">
                  <c:v>Thika</c:v>
                </c:pt>
              </c:strCache>
            </c:strRef>
          </c:cat>
          <c:val>
            <c:numRef>
              <c:f>'Pivot Analysis'!$B$12:$B$18</c:f>
              <c:numCache>
                <c:formatCode>General</c:formatCode>
                <c:ptCount val="6"/>
                <c:pt idx="0">
                  <c:v>-58.75</c:v>
                </c:pt>
                <c:pt idx="1">
                  <c:v>-62</c:v>
                </c:pt>
                <c:pt idx="2">
                  <c:v>-69</c:v>
                </c:pt>
                <c:pt idx="3">
                  <c:v>-78</c:v>
                </c:pt>
                <c:pt idx="4">
                  <c:v>-84.666666666666671</c:v>
                </c:pt>
                <c:pt idx="5">
                  <c:v>-90</c:v>
                </c:pt>
              </c:numCache>
            </c:numRef>
          </c:val>
          <c:extLst>
            <c:ext xmlns:c16="http://schemas.microsoft.com/office/drawing/2014/chart" uri="{C3380CC4-5D6E-409C-BE32-E72D297353CC}">
              <c16:uniqueId val="{00000000-15D1-42DD-AD15-418F315612AA}"/>
            </c:ext>
          </c:extLst>
        </c:ser>
        <c:dLbls>
          <c:showLegendKey val="0"/>
          <c:showVal val="0"/>
          <c:showCatName val="0"/>
          <c:showSerName val="0"/>
          <c:showPercent val="0"/>
          <c:showBubbleSize val="0"/>
        </c:dLbls>
        <c:gapWidth val="219"/>
        <c:overlap val="-27"/>
        <c:axId val="1123836112"/>
        <c:axId val="1091421472"/>
      </c:barChart>
      <c:catAx>
        <c:axId val="1123836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1421472"/>
        <c:crosses val="autoZero"/>
        <c:auto val="1"/>
        <c:lblAlgn val="ctr"/>
        <c:lblOffset val="100"/>
        <c:noMultiLvlLbl val="0"/>
      </c:catAx>
      <c:valAx>
        <c:axId val="10914214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3836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[Telecom_Network_Data.xlsx]Pivot Analysis!PivotTable3</c:name>
    <c:fmtId val="2"/>
  </c:pivotSource>
  <c:chart>
    <c:title>
      <c:tx>
        <c:rich>
          <a:bodyPr rot="0" spcFirstLastPara="1" vertOverflow="ellipsis" vert="horz" wrap="square" anchor="ctr" anchorCtr="1"/>
          <a:lstStyle/>
          <a:p>
            <a:pPr lvl="2" algn="ctr" rtl="0">
              <a:defRPr sz="1400" b="0" i="0" u="none" strike="noStrike" kern="1200" spc="0" baseline="0">
                <a:solidFill>
                  <a:sysClr val="windowText" lastClr="000000">
                    <a:lumMod val="65000"/>
                    <a:lumOff val="35000"/>
                  </a:sysClr>
                </a:solidFill>
                <a:latin typeface="+mn-lt"/>
                <a:ea typeface="+mn-ea"/>
                <a:cs typeface="+mn-cs"/>
              </a:defRPr>
            </a:pPr>
            <a:r>
              <a:rPr lang="en-US"/>
              <a:t>Active</a:t>
            </a:r>
            <a:r>
              <a:rPr lang="en-US" baseline="0"/>
              <a:t> Users By Region</a:t>
            </a:r>
            <a:endParaRPr lang="en-US"/>
          </a:p>
        </c:rich>
      </c:tx>
      <c:layout>
        <c:manualLayout>
          <c:xMode val="edge"/>
          <c:yMode val="edge"/>
          <c:x val="0.4882522236803733"/>
          <c:y val="0.15950222055931981"/>
        </c:manualLayout>
      </c:layout>
      <c:overlay val="0"/>
      <c:spPr>
        <a:solidFill>
          <a:srgbClr val="FFC000"/>
        </a:solidFill>
        <a:ln>
          <a:noFill/>
        </a:ln>
        <a:effectLst/>
      </c:spPr>
      <c:txPr>
        <a:bodyPr rot="0" spcFirstLastPara="1" vertOverflow="ellipsis" vert="horz" wrap="square" anchor="ctr" anchorCtr="1"/>
        <a:lstStyle/>
        <a:p>
          <a:pPr lvl="2" algn="ctr" rtl="0">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Analysis'!$B$21</c:f>
              <c:strCache>
                <c:ptCount val="1"/>
                <c:pt idx="0">
                  <c:v>Total</c:v>
                </c:pt>
              </c:strCache>
            </c:strRef>
          </c:tx>
          <c:spPr>
            <a:solidFill>
              <a:schemeClr val="accent1"/>
            </a:solidFill>
            <a:ln>
              <a:noFill/>
            </a:ln>
            <a:effectLst/>
          </c:spPr>
          <c:invertIfNegative val="0"/>
          <c:cat>
            <c:strRef>
              <c:f>'Pivot Analysis'!$A$22:$A$28</c:f>
              <c:strCache>
                <c:ptCount val="6"/>
                <c:pt idx="0">
                  <c:v>Nairobi</c:v>
                </c:pt>
                <c:pt idx="1">
                  <c:v>Kisumu</c:v>
                </c:pt>
                <c:pt idx="2">
                  <c:v>Mombasa</c:v>
                </c:pt>
                <c:pt idx="3">
                  <c:v>Eldoret</c:v>
                </c:pt>
                <c:pt idx="4">
                  <c:v>Nakuru</c:v>
                </c:pt>
                <c:pt idx="5">
                  <c:v>Thika</c:v>
                </c:pt>
              </c:strCache>
            </c:strRef>
          </c:cat>
          <c:val>
            <c:numRef>
              <c:f>'Pivot Analysis'!$B$22:$B$28</c:f>
              <c:numCache>
                <c:formatCode>General</c:formatCode>
                <c:ptCount val="6"/>
                <c:pt idx="0">
                  <c:v>6750</c:v>
                </c:pt>
                <c:pt idx="1">
                  <c:v>4220</c:v>
                </c:pt>
                <c:pt idx="2">
                  <c:v>3160</c:v>
                </c:pt>
                <c:pt idx="3">
                  <c:v>3020</c:v>
                </c:pt>
                <c:pt idx="4">
                  <c:v>1860</c:v>
                </c:pt>
                <c:pt idx="5">
                  <c:v>1320</c:v>
                </c:pt>
              </c:numCache>
            </c:numRef>
          </c:val>
          <c:extLst>
            <c:ext xmlns:c16="http://schemas.microsoft.com/office/drawing/2014/chart" uri="{C3380CC4-5D6E-409C-BE32-E72D297353CC}">
              <c16:uniqueId val="{00000000-A03E-4BB3-8A13-EDEC7118CAE9}"/>
            </c:ext>
          </c:extLst>
        </c:ser>
        <c:dLbls>
          <c:showLegendKey val="0"/>
          <c:showVal val="0"/>
          <c:showCatName val="0"/>
          <c:showSerName val="0"/>
          <c:showPercent val="0"/>
          <c:showBubbleSize val="0"/>
        </c:dLbls>
        <c:gapWidth val="182"/>
        <c:axId val="1033129231"/>
        <c:axId val="845397023"/>
      </c:barChart>
      <c:catAx>
        <c:axId val="10331292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5397023"/>
        <c:crosses val="autoZero"/>
        <c:auto val="1"/>
        <c:lblAlgn val="ctr"/>
        <c:lblOffset val="100"/>
        <c:noMultiLvlLbl val="0"/>
      </c:catAx>
      <c:valAx>
        <c:axId val="84539702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31292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[Telecom_Network_Data.xlsx]Pivot Analysis!PivotTable4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Downtime Hours</a:t>
            </a:r>
            <a:endParaRPr lang="en-US"/>
          </a:p>
        </c:rich>
      </c:tx>
      <c:overlay val="0"/>
      <c:spPr>
        <a:solidFill>
          <a:srgbClr val="FFC00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Analysis'!$B$31</c:f>
              <c:strCache>
                <c:ptCount val="1"/>
                <c:pt idx="0">
                  <c:v>Total</c:v>
                </c:pt>
              </c:strCache>
            </c:strRef>
          </c:tx>
          <c:spPr>
            <a:solidFill>
              <a:schemeClr val="accent1"/>
            </a:solidFill>
            <a:ln>
              <a:noFill/>
            </a:ln>
            <a:effectLst/>
          </c:spPr>
          <c:invertIfNegative val="0"/>
          <c:cat>
            <c:strRef>
              <c:f>'Pivot Analysis'!$A$32:$A$52</c:f>
              <c:strCache>
                <c:ptCount val="20"/>
                <c:pt idx="0">
                  <c:v>TWR018</c:v>
                </c:pt>
                <c:pt idx="1">
                  <c:v>TWR012</c:v>
                </c:pt>
                <c:pt idx="2">
                  <c:v>TWR016</c:v>
                </c:pt>
                <c:pt idx="3">
                  <c:v>TWR006</c:v>
                </c:pt>
                <c:pt idx="4">
                  <c:v>TWR010</c:v>
                </c:pt>
                <c:pt idx="5">
                  <c:v>TWR004</c:v>
                </c:pt>
                <c:pt idx="6">
                  <c:v>TWR014</c:v>
                </c:pt>
                <c:pt idx="7">
                  <c:v>TWR008</c:v>
                </c:pt>
                <c:pt idx="8">
                  <c:v>TWR020</c:v>
                </c:pt>
                <c:pt idx="9">
                  <c:v>TWR002</c:v>
                </c:pt>
                <c:pt idx="10">
                  <c:v>TWR005</c:v>
                </c:pt>
                <c:pt idx="11">
                  <c:v>TWR017</c:v>
                </c:pt>
                <c:pt idx="12">
                  <c:v>TWR011</c:v>
                </c:pt>
                <c:pt idx="13">
                  <c:v>TWR009</c:v>
                </c:pt>
                <c:pt idx="14">
                  <c:v>TWR015</c:v>
                </c:pt>
                <c:pt idx="15">
                  <c:v>TWR001</c:v>
                </c:pt>
                <c:pt idx="16">
                  <c:v>TWR019</c:v>
                </c:pt>
                <c:pt idx="17">
                  <c:v>TWR007</c:v>
                </c:pt>
                <c:pt idx="18">
                  <c:v>TWR003</c:v>
                </c:pt>
                <c:pt idx="19">
                  <c:v>TWR013</c:v>
                </c:pt>
              </c:strCache>
            </c:strRef>
          </c:cat>
          <c:val>
            <c:numRef>
              <c:f>'Pivot Analysis'!$B$32:$B$52</c:f>
              <c:numCache>
                <c:formatCode>General</c:formatCode>
                <c:ptCount val="20"/>
                <c:pt idx="0">
                  <c:v>35</c:v>
                </c:pt>
                <c:pt idx="1">
                  <c:v>30</c:v>
                </c:pt>
                <c:pt idx="2">
                  <c:v>26</c:v>
                </c:pt>
                <c:pt idx="3">
                  <c:v>25</c:v>
                </c:pt>
                <c:pt idx="4">
                  <c:v>20</c:v>
                </c:pt>
                <c:pt idx="5">
                  <c:v>18</c:v>
                </c:pt>
                <c:pt idx="6">
                  <c:v>15</c:v>
                </c:pt>
                <c:pt idx="7">
                  <c:v>12</c:v>
                </c:pt>
                <c:pt idx="8">
                  <c:v>11</c:v>
                </c:pt>
                <c:pt idx="9">
                  <c:v>10</c:v>
                </c:pt>
                <c:pt idx="10">
                  <c:v>5</c:v>
                </c:pt>
                <c:pt idx="11">
                  <c:v>5</c:v>
                </c:pt>
                <c:pt idx="12">
                  <c:v>4</c:v>
                </c:pt>
                <c:pt idx="13">
                  <c:v>3</c:v>
                </c:pt>
                <c:pt idx="14">
                  <c:v>2</c:v>
                </c:pt>
                <c:pt idx="15">
                  <c:v>2</c:v>
                </c:pt>
                <c:pt idx="16">
                  <c:v>1</c:v>
                </c:pt>
                <c:pt idx="17">
                  <c:v>1</c:v>
                </c:pt>
                <c:pt idx="18">
                  <c:v>1</c:v>
                </c:pt>
                <c:pt idx="19">
                  <c:v>0.5</c:v>
                </c:pt>
              </c:numCache>
            </c:numRef>
          </c:val>
          <c:extLst>
            <c:ext xmlns:c16="http://schemas.microsoft.com/office/drawing/2014/chart" uri="{C3380CC4-5D6E-409C-BE32-E72D297353CC}">
              <c16:uniqueId val="{00000000-2FEE-43D1-BC07-0131AC6A7387}"/>
            </c:ext>
          </c:extLst>
        </c:ser>
        <c:dLbls>
          <c:showLegendKey val="0"/>
          <c:showVal val="0"/>
          <c:showCatName val="0"/>
          <c:showSerName val="0"/>
          <c:showPercent val="0"/>
          <c:showBubbleSize val="0"/>
        </c:dLbls>
        <c:gapWidth val="219"/>
        <c:overlap val="-27"/>
        <c:axId val="1073660400"/>
        <c:axId val="1091430592"/>
      </c:barChart>
      <c:catAx>
        <c:axId val="1073660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1430592"/>
        <c:crosses val="autoZero"/>
        <c:auto val="1"/>
        <c:lblAlgn val="ctr"/>
        <c:lblOffset val="100"/>
        <c:noMultiLvlLbl val="0"/>
      </c:catAx>
      <c:valAx>
        <c:axId val="10914305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3660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57150</xdr:colOff>
      <xdr:row>30</xdr:row>
      <xdr:rowOff>114300</xdr:rowOff>
    </xdr:from>
    <xdr:to>
      <xdr:col>15</xdr:col>
      <xdr:colOff>38100</xdr:colOff>
      <xdr:row>41</xdr:row>
      <xdr:rowOff>76200</xdr:rowOff>
    </xdr:to>
    <xdr:graphicFrame macro="">
      <xdr:nvGraphicFramePr>
        <xdr:cNvPr id="2" name="Chart 1">
          <a:extLst>
            <a:ext uri="{FF2B5EF4-FFF2-40B4-BE49-F238E27FC236}">
              <a16:creationId xmlns:a16="http://schemas.microsoft.com/office/drawing/2014/main" id="{0C809D2F-03B3-4A0E-8C14-FAC84512AB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342900</xdr:colOff>
      <xdr:row>19</xdr:row>
      <xdr:rowOff>95250</xdr:rowOff>
    </xdr:from>
    <xdr:to>
      <xdr:col>13</xdr:col>
      <xdr:colOff>447675</xdr:colOff>
      <xdr:row>30</xdr:row>
      <xdr:rowOff>104775</xdr:rowOff>
    </xdr:to>
    <xdr:graphicFrame macro="">
      <xdr:nvGraphicFramePr>
        <xdr:cNvPr id="3" name="Chart 2">
          <a:extLst>
            <a:ext uri="{FF2B5EF4-FFF2-40B4-BE49-F238E27FC236}">
              <a16:creationId xmlns:a16="http://schemas.microsoft.com/office/drawing/2014/main" id="{547D1E72-D297-4803-9B05-118519A6E5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19</xdr:row>
      <xdr:rowOff>152400</xdr:rowOff>
    </xdr:from>
    <xdr:to>
      <xdr:col>7</xdr:col>
      <xdr:colOff>276225</xdr:colOff>
      <xdr:row>30</xdr:row>
      <xdr:rowOff>109536</xdr:rowOff>
    </xdr:to>
    <xdr:graphicFrame macro="">
      <xdr:nvGraphicFramePr>
        <xdr:cNvPr id="4" name="Chart 3">
          <a:extLst>
            <a:ext uri="{FF2B5EF4-FFF2-40B4-BE49-F238E27FC236}">
              <a16:creationId xmlns:a16="http://schemas.microsoft.com/office/drawing/2014/main" id="{79F5A4F5-FB84-4D22-9BC5-8D6E9105BF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95250</xdr:colOff>
      <xdr:row>29</xdr:row>
      <xdr:rowOff>171450</xdr:rowOff>
    </xdr:from>
    <xdr:to>
      <xdr:col>5</xdr:col>
      <xdr:colOff>1152525</xdr:colOff>
      <xdr:row>41</xdr:row>
      <xdr:rowOff>19050</xdr:rowOff>
    </xdr:to>
    <xdr:graphicFrame macro="">
      <xdr:nvGraphicFramePr>
        <xdr:cNvPr id="5" name="Chart 4">
          <a:extLst>
            <a:ext uri="{FF2B5EF4-FFF2-40B4-BE49-F238E27FC236}">
              <a16:creationId xmlns:a16="http://schemas.microsoft.com/office/drawing/2014/main" id="{159B8C66-2BD1-4D3F-8350-BE438CFF49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85725</xdr:colOff>
      <xdr:row>7</xdr:row>
      <xdr:rowOff>133350</xdr:rowOff>
    </xdr:from>
    <xdr:to>
      <xdr:col>2</xdr:col>
      <xdr:colOff>457200</xdr:colOff>
      <xdr:row>18</xdr:row>
      <xdr:rowOff>85725</xdr:rowOff>
    </xdr:to>
    <mc:AlternateContent xmlns:mc="http://schemas.openxmlformats.org/markup-compatibility/2006">
      <mc:Choice xmlns:a14="http://schemas.microsoft.com/office/drawing/2010/main" Requires="a14">
        <xdr:graphicFrame macro="">
          <xdr:nvGraphicFramePr>
            <xdr:cNvPr id="6" name="Region">
              <a:extLst>
                <a:ext uri="{FF2B5EF4-FFF2-40B4-BE49-F238E27FC236}">
                  <a16:creationId xmlns:a16="http://schemas.microsoft.com/office/drawing/2014/main" id="{E784223D-E0F0-4E2D-A968-7C9E6BFC062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85725" y="1933575"/>
              <a:ext cx="1828800" cy="20478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542925</xdr:colOff>
      <xdr:row>7</xdr:row>
      <xdr:rowOff>114300</xdr:rowOff>
    </xdr:from>
    <xdr:to>
      <xdr:col>5</xdr:col>
      <xdr:colOff>495300</xdr:colOff>
      <xdr:row>12</xdr:row>
      <xdr:rowOff>133350</xdr:rowOff>
    </xdr:to>
    <mc:AlternateContent xmlns:mc="http://schemas.openxmlformats.org/markup-compatibility/2006">
      <mc:Choice xmlns:a14="http://schemas.microsoft.com/office/drawing/2010/main" Requires="a14">
        <xdr:graphicFrame macro="">
          <xdr:nvGraphicFramePr>
            <xdr:cNvPr id="7" name="NetworkType">
              <a:extLst>
                <a:ext uri="{FF2B5EF4-FFF2-40B4-BE49-F238E27FC236}">
                  <a16:creationId xmlns:a16="http://schemas.microsoft.com/office/drawing/2014/main" id="{7D7E1060-7368-4D92-9627-3E7923810094}"/>
                </a:ext>
              </a:extLst>
            </xdr:cNvPr>
            <xdr:cNvGraphicFramePr/>
          </xdr:nvGraphicFramePr>
          <xdr:xfrm>
            <a:off x="0" y="0"/>
            <a:ext cx="0" cy="0"/>
          </xdr:xfrm>
          <a:graphic>
            <a:graphicData uri="http://schemas.microsoft.com/office/drawing/2010/slicer">
              <sle:slicer xmlns:sle="http://schemas.microsoft.com/office/drawing/2010/slicer" name="NetworkType"/>
            </a:graphicData>
          </a:graphic>
        </xdr:graphicFrame>
      </mc:Choice>
      <mc:Fallback>
        <xdr:sp macro="" textlink="">
          <xdr:nvSpPr>
            <xdr:cNvPr id="0" name=""/>
            <xdr:cNvSpPr>
              <a:spLocks noTextEdit="1"/>
            </xdr:cNvSpPr>
          </xdr:nvSpPr>
          <xdr:spPr>
            <a:xfrm>
              <a:off x="2000250" y="1914525"/>
              <a:ext cx="1828800" cy="9715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istrator" refreshedDate="46201.842929976854" createdVersion="8" refreshedVersion="8" minRefreshableVersion="3" recordCount="20" xr:uid="{DCFF6702-0321-455F-932A-299E14C37224}">
  <cacheSource type="worksheet">
    <worksheetSource name="Table1"/>
  </cacheSource>
  <cacheFields count="11">
    <cacheField name="TowerID" numFmtId="0">
      <sharedItems count="20">
        <s v="TWR001"/>
        <s v="TWR002"/>
        <s v="TWR003"/>
        <s v="TWR004"/>
        <s v="TWR005"/>
        <s v="TWR006"/>
        <s v="TWR007"/>
        <s v="TWR008"/>
        <s v="TWR009"/>
        <s v="TWR010"/>
        <s v="TWR011"/>
        <s v="TWR012"/>
        <s v="TWR013"/>
        <s v="TWR014"/>
        <s v="TWR015"/>
        <s v="TWR016"/>
        <s v="TWR017"/>
        <s v="TWR018"/>
        <s v="TWR019"/>
        <s v="TWR020"/>
      </sharedItems>
    </cacheField>
    <cacheField name="Region" numFmtId="0">
      <sharedItems count="6">
        <s v="Nairobi"/>
        <s v="Mombasa"/>
        <s v="Kisumu"/>
        <s v="Nakuru"/>
        <s v="Eldoret"/>
        <s v="Thika"/>
      </sharedItems>
    </cacheField>
    <cacheField name="NetworkType" numFmtId="0">
      <sharedItems count="2">
        <s v="5G"/>
        <s v="4G"/>
      </sharedItems>
    </cacheField>
    <cacheField name="SignalStrength_dBm" numFmtId="0">
      <sharedItems containsSemiMixedTypes="0" containsString="0" containsNumber="1" containsInteger="1" minValue="-92" maxValue="-55"/>
    </cacheField>
    <cacheField name="DataUsage_GB" numFmtId="0">
      <sharedItems containsSemiMixedTypes="0" containsString="0" containsNumber="1" containsInteger="1" minValue="220" maxValue="1250"/>
    </cacheField>
    <cacheField name="CallDropRate_Percent" numFmtId="0">
      <sharedItems containsSemiMixedTypes="0" containsString="0" containsNumber="1" minValue="0.3" maxValue="6.5"/>
    </cacheField>
    <cacheField name="Latency_ms" numFmtId="0">
      <sharedItems containsSemiMixedTypes="0" containsString="0" containsNumber="1" containsInteger="1" minValue="12" maxValue="90"/>
    </cacheField>
    <cacheField name="Uptime_Percent" numFmtId="0">
      <sharedItems containsSemiMixedTypes="0" containsString="0" containsNumber="1" minValue="94.8" maxValue="99.95"/>
    </cacheField>
    <cacheField name="Downtime_Hours" numFmtId="0">
      <sharedItems containsSemiMixedTypes="0" containsString="0" containsNumber="1" minValue="0.5" maxValue="35"/>
    </cacheField>
    <cacheField name="ActiveUsers" numFmtId="0">
      <sharedItems containsSemiMixedTypes="0" containsString="0" containsNumber="1" containsInteger="1" minValue="390" maxValue="2000"/>
    </cacheField>
    <cacheField name="Date" numFmtId="14">
      <sharedItems containsSemiMixedTypes="0" containsNonDate="0" containsDate="1" containsString="0" minDate="2026-01-01T00:00:00" maxDate="2026-01-21T00:00:00"/>
    </cacheField>
  </cacheFields>
  <extLst>
    <ext xmlns:x14="http://schemas.microsoft.com/office/spreadsheetml/2009/9/main" uri="{725AE2AE-9491-48be-B2B4-4EB974FC3084}">
      <x14:pivotCacheDefinition pivotCacheId="103452917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x v="0"/>
    <n v="-65"/>
    <n v="850"/>
    <n v="1.2"/>
    <n v="20"/>
    <n v="99.8"/>
    <n v="2"/>
    <n v="1200"/>
    <d v="2026-01-01T00:00:00"/>
  </r>
  <r>
    <x v="1"/>
    <x v="1"/>
    <x v="1"/>
    <n v="-78"/>
    <n v="430"/>
    <n v="3.5"/>
    <n v="45"/>
    <n v="98.7"/>
    <n v="10"/>
    <n v="850"/>
    <d v="2026-01-02T00:00:00"/>
  </r>
  <r>
    <x v="2"/>
    <x v="2"/>
    <x v="0"/>
    <n v="-60"/>
    <n v="920"/>
    <n v="0.8"/>
    <n v="18"/>
    <n v="99.9"/>
    <n v="1"/>
    <n v="1400"/>
    <d v="2026-01-03T00:00:00"/>
  </r>
  <r>
    <x v="3"/>
    <x v="3"/>
    <x v="1"/>
    <n v="-82"/>
    <n v="390"/>
    <n v="4.2"/>
    <n v="55"/>
    <n v="97.5"/>
    <n v="18"/>
    <n v="700"/>
    <d v="2026-01-04T00:00:00"/>
  </r>
  <r>
    <x v="4"/>
    <x v="4"/>
    <x v="0"/>
    <n v="-70"/>
    <n v="610"/>
    <n v="2"/>
    <n v="30"/>
    <n v="99"/>
    <n v="5"/>
    <n v="980"/>
    <d v="2026-01-05T00:00:00"/>
  </r>
  <r>
    <x v="5"/>
    <x v="5"/>
    <x v="1"/>
    <n v="-88"/>
    <n v="300"/>
    <n v="5.0999999999999996"/>
    <n v="70"/>
    <n v="96.8"/>
    <n v="25"/>
    <n v="500"/>
    <d v="2026-01-06T00:00:00"/>
  </r>
  <r>
    <x v="6"/>
    <x v="0"/>
    <x v="0"/>
    <n v="-58"/>
    <n v="1100"/>
    <n v="0.5"/>
    <n v="15"/>
    <n v="99.9"/>
    <n v="1"/>
    <n v="1700"/>
    <d v="2026-01-07T00:00:00"/>
  </r>
  <r>
    <x v="7"/>
    <x v="1"/>
    <x v="1"/>
    <n v="-75"/>
    <n v="470"/>
    <n v="3"/>
    <n v="40"/>
    <n v="98.2"/>
    <n v="12"/>
    <n v="780"/>
    <d v="2026-01-08T00:00:00"/>
  </r>
  <r>
    <x v="8"/>
    <x v="2"/>
    <x v="0"/>
    <n v="-62"/>
    <n v="980"/>
    <n v="1"/>
    <n v="22"/>
    <n v="99.7"/>
    <n v="3"/>
    <n v="1500"/>
    <d v="2026-01-09T00:00:00"/>
  </r>
  <r>
    <x v="9"/>
    <x v="3"/>
    <x v="1"/>
    <n v="-85"/>
    <n v="350"/>
    <n v="4.8"/>
    <n v="60"/>
    <n v="97"/>
    <n v="20"/>
    <n v="620"/>
    <d v="2026-01-10T00:00:00"/>
  </r>
  <r>
    <x v="10"/>
    <x v="4"/>
    <x v="0"/>
    <n v="-68"/>
    <n v="720"/>
    <n v="1.5"/>
    <n v="28"/>
    <n v="99.3"/>
    <n v="4"/>
    <n v="1050"/>
    <d v="2026-01-11T00:00:00"/>
  </r>
  <r>
    <x v="11"/>
    <x v="5"/>
    <x v="1"/>
    <n v="-90"/>
    <n v="250"/>
    <n v="6"/>
    <n v="80"/>
    <n v="95.5"/>
    <n v="30"/>
    <n v="430"/>
    <d v="2026-01-12T00:00:00"/>
  </r>
  <r>
    <x v="12"/>
    <x v="0"/>
    <x v="0"/>
    <n v="-55"/>
    <n v="1250"/>
    <n v="0.3"/>
    <n v="12"/>
    <n v="99.95"/>
    <n v="0.5"/>
    <n v="2000"/>
    <d v="2026-01-13T00:00:00"/>
  </r>
  <r>
    <x v="13"/>
    <x v="1"/>
    <x v="1"/>
    <n v="-80"/>
    <n v="410"/>
    <n v="3.8"/>
    <n v="50"/>
    <n v="97.8"/>
    <n v="15"/>
    <n v="720"/>
    <d v="2026-01-14T00:00:00"/>
  </r>
  <r>
    <x v="14"/>
    <x v="2"/>
    <x v="0"/>
    <n v="-64"/>
    <n v="870"/>
    <n v="1.1000000000000001"/>
    <n v="25"/>
    <n v="99.5"/>
    <n v="2"/>
    <n v="1320"/>
    <d v="2026-01-15T00:00:00"/>
  </r>
  <r>
    <x v="15"/>
    <x v="3"/>
    <x v="1"/>
    <n v="-87"/>
    <n v="320"/>
    <n v="5.3"/>
    <n v="68"/>
    <n v="96.5"/>
    <n v="26"/>
    <n v="540"/>
    <d v="2026-01-16T00:00:00"/>
  </r>
  <r>
    <x v="16"/>
    <x v="4"/>
    <x v="0"/>
    <n v="-69"/>
    <n v="680"/>
    <n v="1.7"/>
    <n v="32"/>
    <n v="99.1"/>
    <n v="5"/>
    <n v="990"/>
    <d v="2026-01-17T00:00:00"/>
  </r>
  <r>
    <x v="17"/>
    <x v="5"/>
    <x v="1"/>
    <n v="-92"/>
    <n v="220"/>
    <n v="6.5"/>
    <n v="90"/>
    <n v="94.8"/>
    <n v="35"/>
    <n v="390"/>
    <d v="2026-01-18T00:00:00"/>
  </r>
  <r>
    <x v="18"/>
    <x v="0"/>
    <x v="0"/>
    <n v="-57"/>
    <n v="1180"/>
    <n v="0.4"/>
    <n v="14"/>
    <n v="99.92"/>
    <n v="1"/>
    <n v="1850"/>
    <d v="2026-01-19T00:00:00"/>
  </r>
  <r>
    <x v="19"/>
    <x v="1"/>
    <x v="1"/>
    <n v="-79"/>
    <n v="450"/>
    <n v="3.2"/>
    <n v="42"/>
    <n v="98.5"/>
    <n v="11"/>
    <n v="810"/>
    <d v="2026-01-20T0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FFF7CA7-99E9-47D3-8223-6D7777695CC6}" name="PivotTable4"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1:B52" firstHeaderRow="1" firstDataRow="1" firstDataCol="1"/>
  <pivotFields count="11">
    <pivotField axis="axisRow" showAll="0" sortType="descending">
      <items count="21">
        <item x="0"/>
        <item x="1"/>
        <item x="2"/>
        <item x="3"/>
        <item x="4"/>
        <item x="5"/>
        <item x="6"/>
        <item x="7"/>
        <item x="8"/>
        <item x="9"/>
        <item x="10"/>
        <item x="11"/>
        <item x="12"/>
        <item x="13"/>
        <item x="14"/>
        <item x="15"/>
        <item x="16"/>
        <item x="17"/>
        <item x="18"/>
        <item x="19"/>
        <item t="default"/>
      </items>
      <autoSortScope>
        <pivotArea dataOnly="0" outline="0" fieldPosition="0">
          <references count="1">
            <reference field="4294967294" count="1" selected="0">
              <x v="0"/>
            </reference>
          </references>
        </pivotArea>
      </autoSortScope>
    </pivotField>
    <pivotField showAll="0">
      <items count="7">
        <item x="4"/>
        <item x="2"/>
        <item x="1"/>
        <item x="0"/>
        <item x="3"/>
        <item x="5"/>
        <item t="default"/>
      </items>
    </pivotField>
    <pivotField showAll="0">
      <items count="3">
        <item x="1"/>
        <item x="0"/>
        <item t="default"/>
      </items>
    </pivotField>
    <pivotField showAll="0"/>
    <pivotField showAll="0"/>
    <pivotField showAll="0"/>
    <pivotField showAll="0"/>
    <pivotField showAll="0"/>
    <pivotField dataField="1" showAll="0"/>
    <pivotField showAll="0"/>
    <pivotField numFmtId="14" showAll="0"/>
  </pivotFields>
  <rowFields count="1">
    <field x="0"/>
  </rowFields>
  <rowItems count="21">
    <i>
      <x v="17"/>
    </i>
    <i>
      <x v="11"/>
    </i>
    <i>
      <x v="15"/>
    </i>
    <i>
      <x v="5"/>
    </i>
    <i>
      <x v="9"/>
    </i>
    <i>
      <x v="3"/>
    </i>
    <i>
      <x v="13"/>
    </i>
    <i>
      <x v="7"/>
    </i>
    <i>
      <x v="19"/>
    </i>
    <i>
      <x v="1"/>
    </i>
    <i>
      <x v="4"/>
    </i>
    <i>
      <x v="16"/>
    </i>
    <i>
      <x v="10"/>
    </i>
    <i>
      <x v="8"/>
    </i>
    <i>
      <x v="14"/>
    </i>
    <i>
      <x/>
    </i>
    <i>
      <x v="18"/>
    </i>
    <i>
      <x v="6"/>
    </i>
    <i>
      <x v="2"/>
    </i>
    <i>
      <x v="12"/>
    </i>
    <i t="grand">
      <x/>
    </i>
  </rowItems>
  <colItems count="1">
    <i/>
  </colItems>
  <dataFields count="1">
    <dataField name="Average of Downtime_Hours" fld="8" subtotal="average" baseField="0" baseItem="15"/>
  </dataFields>
  <conditionalFormats count="1">
    <conditionalFormat priority="2">
      <pivotAreas count="1">
        <pivotArea type="data" collapsedLevelsAreSubtotals="1" fieldPosition="0">
          <references count="2">
            <reference field="4294967294" count="1" selected="0">
              <x v="0"/>
            </reference>
            <reference field="0" count="20">
              <x v="0"/>
              <x v="1"/>
              <x v="2"/>
              <x v="3"/>
              <x v="4"/>
              <x v="5"/>
              <x v="6"/>
              <x v="7"/>
              <x v="8"/>
              <x v="9"/>
              <x v="10"/>
              <x v="11"/>
              <x v="12"/>
              <x v="13"/>
              <x v="14"/>
              <x v="15"/>
              <x v="16"/>
              <x v="17"/>
              <x v="18"/>
              <x v="19"/>
            </reference>
          </references>
        </pivotArea>
      </pivotAreas>
    </conditionalFormat>
  </conditional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3E8E4B1-F922-48E5-9BA6-CA526D6D59E8}" name="PivotTable3"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1:B28" firstHeaderRow="1" firstDataRow="1" firstDataCol="1"/>
  <pivotFields count="11">
    <pivotField showAll="0"/>
    <pivotField axis="axisRow" showAll="0" sortType="descending">
      <items count="7">
        <item x="4"/>
        <item x="2"/>
        <item x="1"/>
        <item x="0"/>
        <item x="3"/>
        <item x="5"/>
        <item t="default"/>
      </items>
      <autoSortScope>
        <pivotArea dataOnly="0" outline="0" fieldPosition="0">
          <references count="1">
            <reference field="4294967294" count="1" selected="0">
              <x v="0"/>
            </reference>
          </references>
        </pivotArea>
      </autoSortScope>
    </pivotField>
    <pivotField showAll="0">
      <items count="3">
        <item x="1"/>
        <item x="0"/>
        <item t="default"/>
      </items>
    </pivotField>
    <pivotField showAll="0"/>
    <pivotField showAll="0"/>
    <pivotField showAll="0"/>
    <pivotField showAll="0"/>
    <pivotField showAll="0"/>
    <pivotField showAll="0"/>
    <pivotField dataField="1" showAll="0"/>
    <pivotField numFmtId="14" showAll="0"/>
  </pivotFields>
  <rowFields count="1">
    <field x="1"/>
  </rowFields>
  <rowItems count="7">
    <i>
      <x v="3"/>
    </i>
    <i>
      <x v="1"/>
    </i>
    <i>
      <x v="2"/>
    </i>
    <i>
      <x/>
    </i>
    <i>
      <x v="4"/>
    </i>
    <i>
      <x v="5"/>
    </i>
    <i t="grand">
      <x/>
    </i>
  </rowItems>
  <colItems count="1">
    <i/>
  </colItems>
  <dataFields count="1">
    <dataField name="Sum of ActiveUsers" fld="9"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0DD8668-C4E2-41CB-9588-1A76D1C8CFF1}" name="PivotTable2"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1:B18" firstHeaderRow="1" firstDataRow="1" firstDataCol="1"/>
  <pivotFields count="11">
    <pivotField showAll="0"/>
    <pivotField axis="axisRow" showAll="0" sortType="descending">
      <items count="7">
        <item x="4"/>
        <item x="2"/>
        <item x="1"/>
        <item x="0"/>
        <item x="3"/>
        <item x="5"/>
        <item t="default"/>
      </items>
      <autoSortScope>
        <pivotArea dataOnly="0" outline="0" fieldPosition="0">
          <references count="1">
            <reference field="4294967294" count="1" selected="0">
              <x v="0"/>
            </reference>
          </references>
        </pivotArea>
      </autoSortScope>
    </pivotField>
    <pivotField showAll="0">
      <items count="3">
        <item x="1"/>
        <item x="0"/>
        <item t="default"/>
      </items>
    </pivotField>
    <pivotField dataField="1" showAll="0"/>
    <pivotField showAll="0"/>
    <pivotField showAll="0"/>
    <pivotField showAll="0"/>
    <pivotField showAll="0"/>
    <pivotField showAll="0"/>
    <pivotField showAll="0"/>
    <pivotField numFmtId="14" showAll="0"/>
  </pivotFields>
  <rowFields count="1">
    <field x="1"/>
  </rowFields>
  <rowItems count="7">
    <i>
      <x v="3"/>
    </i>
    <i>
      <x v="1"/>
    </i>
    <i>
      <x/>
    </i>
    <i>
      <x v="2"/>
    </i>
    <i>
      <x v="4"/>
    </i>
    <i>
      <x v="5"/>
    </i>
    <i t="grand">
      <x/>
    </i>
  </rowItems>
  <colItems count="1">
    <i/>
  </colItems>
  <dataFields count="1">
    <dataField name="Average of SignalStrength_dBm" fld="3" subtotal="average" baseField="1" baseItem="1"/>
  </dataFields>
  <conditionalFormats count="3">
    <conditionalFormat priority="4">
      <pivotAreas count="1">
        <pivotArea type="data" collapsedLevelsAreSubtotals="1" fieldPosition="0">
          <references count="2">
            <reference field="4294967294" count="1" selected="0">
              <x v="0"/>
            </reference>
            <reference field="1" count="6">
              <x v="0"/>
              <x v="1"/>
              <x v="2"/>
              <x v="3"/>
              <x v="4"/>
              <x v="5"/>
            </reference>
          </references>
        </pivotArea>
      </pivotAreas>
    </conditionalFormat>
    <conditionalFormat priority="3">
      <pivotAreas count="1">
        <pivotArea type="data" collapsedLevelsAreSubtotals="1" fieldPosition="0">
          <references count="2">
            <reference field="4294967294" count="1" selected="0">
              <x v="0"/>
            </reference>
            <reference field="1" count="6">
              <x v="0"/>
              <x v="1"/>
              <x v="2"/>
              <x v="3"/>
              <x v="4"/>
              <x v="5"/>
            </reference>
          </references>
        </pivotArea>
      </pivotAreas>
    </conditionalFormat>
    <conditionalFormat priority="1">
      <pivotAreas count="1">
        <pivotArea type="data" collapsedLevelsAreSubtotals="1" fieldPosition="0">
          <references count="2">
            <reference field="4294967294" count="1" selected="0">
              <x v="0"/>
            </reference>
            <reference field="1" count="6">
              <x v="0"/>
              <x v="1"/>
              <x v="2"/>
              <x v="3"/>
              <x v="4"/>
              <x v="5"/>
            </reference>
          </references>
        </pivotArea>
      </pivotAreas>
    </conditionalFormat>
  </conditional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D2F569E-4C81-4AA7-BDC6-D32D59757892}" name="PivotTable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B8" firstHeaderRow="1" firstDataRow="1" firstDataCol="1"/>
  <pivotFields count="11">
    <pivotField showAll="0"/>
    <pivotField axis="axisRow" showAll="0" sortType="descending">
      <items count="7">
        <item x="4"/>
        <item x="2"/>
        <item x="1"/>
        <item x="0"/>
        <item x="3"/>
        <item x="5"/>
        <item t="default"/>
      </items>
      <autoSortScope>
        <pivotArea dataOnly="0" outline="0" fieldPosition="0">
          <references count="1">
            <reference field="4294967294" count="1" selected="0">
              <x v="0"/>
            </reference>
          </references>
        </pivotArea>
      </autoSortScope>
    </pivotField>
    <pivotField showAll="0">
      <items count="3">
        <item x="1"/>
        <item x="0"/>
        <item t="default"/>
      </items>
    </pivotField>
    <pivotField showAll="0"/>
    <pivotField dataField="1" showAll="0"/>
    <pivotField showAll="0"/>
    <pivotField showAll="0"/>
    <pivotField showAll="0"/>
    <pivotField showAll="0"/>
    <pivotField showAll="0"/>
    <pivotField numFmtId="14" showAll="0"/>
  </pivotFields>
  <rowFields count="1">
    <field x="1"/>
  </rowFields>
  <rowItems count="7">
    <i>
      <x v="3"/>
    </i>
    <i>
      <x v="1"/>
    </i>
    <i>
      <x/>
    </i>
    <i>
      <x v="2"/>
    </i>
    <i>
      <x v="4"/>
    </i>
    <i>
      <x v="5"/>
    </i>
    <i t="grand">
      <x/>
    </i>
  </rowItems>
  <colItems count="1">
    <i/>
  </colItems>
  <dataFields count="1">
    <dataField name="Sum of DataUsage_GB" fld="4" baseField="0" baseItem="0" numFmtId="1"/>
  </dataFields>
  <chartFormats count="1">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F927928-32BC-409F-9932-83045EF6CD11}" sourceName="Region">
  <pivotTables>
    <pivotTable tabId="3" name="PivotTable4"/>
    <pivotTable tabId="3" name="PivotTable2"/>
    <pivotTable tabId="3" name="PivotTable3"/>
    <pivotTable tabId="3" name="PivotTable1"/>
  </pivotTables>
  <data>
    <tabular pivotCacheId="1034529172">
      <items count="6">
        <i x="4" s="1"/>
        <i x="2" s="1"/>
        <i x="1" s="1"/>
        <i x="0" s="1"/>
        <i x="3"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etworkType" xr10:uid="{C3AEFE83-7C4D-4DB3-A2FE-9E87DE9971A4}" sourceName="NetworkType">
  <pivotTables>
    <pivotTable tabId="3" name="PivotTable4"/>
    <pivotTable tabId="3" name="PivotTable1"/>
    <pivotTable tabId="3" name="PivotTable2"/>
    <pivotTable tabId="3" name="PivotTable3"/>
  </pivotTables>
  <data>
    <tabular pivotCacheId="1034529172">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BE0B4BE2-4196-4B4C-BA60-C6318F3CF373}" cache="Slicer_Region" caption="Region" style="SlicerStyleDark1" rowHeight="241300"/>
  <slicer name="NetworkType" xr10:uid="{934E3062-BE8B-4A86-B488-E20F8CD4993E}" cache="Slicer_NetworkType" caption="NetworkType" style="SlicerStyleDark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B2B3C56-DBF5-42A2-BA1D-0A646650C4DF}" name="Table1" displayName="Table1" ref="A1:L21" totalsRowShown="0" headerRowDxfId="19" dataDxfId="18">
  <autoFilter ref="A1:L21" xr:uid="{1B2B3C56-DBF5-42A2-BA1D-0A646650C4DF}"/>
  <tableColumns count="12">
    <tableColumn id="1" xr3:uid="{6FFEAD9C-36D2-45F2-BF7F-36A6A5077CF0}" name="TowerID"/>
    <tableColumn id="2" xr3:uid="{2538D474-E846-49CA-BB05-4C6AF166FFAD}" name="Region"/>
    <tableColumn id="3" xr3:uid="{7F666D30-C536-442A-957A-6D6770569D60}" name="NetworkType" dataDxfId="17"/>
    <tableColumn id="4" xr3:uid="{F3B57357-2B28-43AA-8FD1-80525ADAD675}" name="SignalStrength_dBm" dataDxfId="16"/>
    <tableColumn id="5" xr3:uid="{A10786D7-448C-4F5E-8642-B838344E49FE}" name="DataUsage_GB" dataDxfId="15"/>
    <tableColumn id="6" xr3:uid="{72777AD6-F6CF-4CF1-B440-6300C34C0BB2}" name="CallDropRate_Percent" dataDxfId="14"/>
    <tableColumn id="7" xr3:uid="{B5128453-C3E2-45D6-A5C1-393CFDFDF8E1}" name="Latency_ms" dataDxfId="13"/>
    <tableColumn id="8" xr3:uid="{81D9D8FE-E735-4CAE-A4C7-D3F6F3138E2E}" name="Uptime_Percent" dataDxfId="12"/>
    <tableColumn id="9" xr3:uid="{F12E4F85-8941-408A-B1BF-3128D4D1AC28}" name="Downtime_Hours" dataDxfId="11"/>
    <tableColumn id="10" xr3:uid="{04DCAABD-BC1B-468E-8439-E87D5A81E0C4}" name="ActiveUsers" dataDxfId="10"/>
    <tableColumn id="11" xr3:uid="{580A79B9-D4B9-4755-958E-591A57D73A9C}" name="Date" dataDxfId="9"/>
    <tableColumn id="12" xr3:uid="{1A8CEFF0-FAC5-40B6-B0F1-6232C697AFBC}" name="Signal_Status" dataDxfId="8">
      <calculatedColumnFormula>IF(D2&gt;-75,"Strong",IF(D2&gt;-90,"Moderate","Weak"))</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3ED095-70CE-4B56-A2C4-F64D8F3AE4B0}">
  <sheetPr>
    <tabColor rgb="FF00B050"/>
  </sheetPr>
  <dimension ref="A1:N21"/>
  <sheetViews>
    <sheetView showGridLines="0" tabSelected="1" topLeftCell="B1" workbookViewId="0">
      <selection activeCell="J17" sqref="J17"/>
    </sheetView>
  </sheetViews>
  <sheetFormatPr defaultRowHeight="15" x14ac:dyDescent="0.25"/>
  <cols>
    <col min="1" max="1" width="11.28515625" customWidth="1"/>
    <col min="2" max="2" width="9.85546875" customWidth="1"/>
    <col min="3" max="3" width="16.42578125" style="3" customWidth="1"/>
    <col min="4" max="4" width="26" style="3" bestFit="1" customWidth="1"/>
    <col min="5" max="5" width="17.28515625" style="3" customWidth="1"/>
    <col min="6" max="6" width="24.5703125" style="3" customWidth="1"/>
    <col min="7" max="7" width="14.5703125" style="3" customWidth="1"/>
    <col min="8" max="8" width="19" style="3" customWidth="1"/>
    <col min="9" max="9" width="20.140625" style="3" customWidth="1"/>
    <col min="10" max="10" width="14.42578125" style="3" customWidth="1"/>
    <col min="11" max="11" width="10.140625" style="3" bestFit="1" customWidth="1"/>
    <col min="12" max="12" width="18.5703125" customWidth="1"/>
    <col min="13" max="13" width="23.28515625" bestFit="1" customWidth="1"/>
  </cols>
  <sheetData>
    <row r="1" spans="1:14" s="1" customFormat="1" ht="15.75" x14ac:dyDescent="0.25">
      <c r="A1" s="1" t="s">
        <v>0</v>
      </c>
      <c r="B1" s="1" t="s">
        <v>1</v>
      </c>
      <c r="C1" s="2" t="s">
        <v>2</v>
      </c>
      <c r="D1" s="2" t="s">
        <v>3</v>
      </c>
      <c r="E1" s="2" t="s">
        <v>4</v>
      </c>
      <c r="F1" s="2" t="s">
        <v>5</v>
      </c>
      <c r="G1" s="2" t="s">
        <v>6</v>
      </c>
      <c r="H1" s="2" t="s">
        <v>7</v>
      </c>
      <c r="I1" s="2" t="s">
        <v>8</v>
      </c>
      <c r="J1" s="2" t="s">
        <v>9</v>
      </c>
      <c r="K1" s="2" t="s">
        <v>10</v>
      </c>
      <c r="L1" s="2" t="s">
        <v>54</v>
      </c>
      <c r="M1"/>
    </row>
    <row r="2" spans="1:14" x14ac:dyDescent="0.25">
      <c r="A2" t="s">
        <v>11</v>
      </c>
      <c r="B2" t="s">
        <v>12</v>
      </c>
      <c r="C2" s="3" t="s">
        <v>13</v>
      </c>
      <c r="D2" s="3">
        <v>-65</v>
      </c>
      <c r="E2" s="3">
        <v>850</v>
      </c>
      <c r="F2" s="3">
        <v>1.2</v>
      </c>
      <c r="G2" s="3">
        <v>20</v>
      </c>
      <c r="H2" s="3">
        <v>99.8</v>
      </c>
      <c r="I2" s="3">
        <v>2</v>
      </c>
      <c r="J2" s="3">
        <v>1200</v>
      </c>
      <c r="K2" s="4">
        <v>46023</v>
      </c>
      <c r="L2" s="3" t="str">
        <f>IF(D2&gt;-75,"Strong",IF(D2&gt;-90,"Moderate","Weak"))</f>
        <v>Strong</v>
      </c>
      <c r="M2" t="s">
        <v>55</v>
      </c>
      <c r="N2">
        <f>COUNTIF(L:L,"Weak")</f>
        <v>2</v>
      </c>
    </row>
    <row r="3" spans="1:14" x14ac:dyDescent="0.25">
      <c r="A3" t="s">
        <v>14</v>
      </c>
      <c r="B3" t="s">
        <v>15</v>
      </c>
      <c r="C3" s="3" t="s">
        <v>16</v>
      </c>
      <c r="D3" s="3">
        <v>-78</v>
      </c>
      <c r="E3" s="3">
        <v>430</v>
      </c>
      <c r="F3" s="3">
        <v>3.5</v>
      </c>
      <c r="G3" s="3">
        <v>45</v>
      </c>
      <c r="H3" s="3">
        <v>98.7</v>
      </c>
      <c r="I3" s="3">
        <v>10</v>
      </c>
      <c r="J3" s="3">
        <v>850</v>
      </c>
      <c r="K3" s="4">
        <v>46024</v>
      </c>
      <c r="L3" s="3" t="str">
        <f>IF(D3&gt;-75,"Strong",IF(D3&gt;-90,"Moderate","Weak"))</f>
        <v>Moderate</v>
      </c>
      <c r="M3" t="s">
        <v>56</v>
      </c>
      <c r="N3">
        <f>COUNTIF(L:L,"Strong")</f>
        <v>10</v>
      </c>
    </row>
    <row r="4" spans="1:14" x14ac:dyDescent="0.25">
      <c r="A4" t="s">
        <v>17</v>
      </c>
      <c r="B4" t="s">
        <v>18</v>
      </c>
      <c r="C4" s="3" t="s">
        <v>13</v>
      </c>
      <c r="D4" s="3">
        <v>-60</v>
      </c>
      <c r="E4" s="3">
        <v>920</v>
      </c>
      <c r="F4" s="3">
        <v>0.8</v>
      </c>
      <c r="G4" s="3">
        <v>18</v>
      </c>
      <c r="H4" s="3">
        <v>99.9</v>
      </c>
      <c r="I4" s="3">
        <v>1</v>
      </c>
      <c r="J4" s="3">
        <v>1400</v>
      </c>
      <c r="K4" s="4">
        <v>46025</v>
      </c>
      <c r="L4" s="3" t="str">
        <f>IF(D4&gt;-75,"Strong",IF(D4&gt;-90,"Moderate","Weak"))</f>
        <v>Strong</v>
      </c>
      <c r="M4" t="s">
        <v>57</v>
      </c>
      <c r="N4">
        <f>COUNTIF(L:L,"Moderate")</f>
        <v>8</v>
      </c>
    </row>
    <row r="5" spans="1:14" x14ac:dyDescent="0.25">
      <c r="A5" t="s">
        <v>19</v>
      </c>
      <c r="B5" t="s">
        <v>20</v>
      </c>
      <c r="C5" s="3" t="s">
        <v>16</v>
      </c>
      <c r="D5" s="3">
        <v>-82</v>
      </c>
      <c r="E5" s="3">
        <v>390</v>
      </c>
      <c r="F5" s="3">
        <v>4.2</v>
      </c>
      <c r="G5" s="3">
        <v>55</v>
      </c>
      <c r="H5" s="3">
        <v>97.5</v>
      </c>
      <c r="I5" s="3">
        <v>18</v>
      </c>
      <c r="J5" s="3">
        <v>700</v>
      </c>
      <c r="K5" s="4">
        <v>46026</v>
      </c>
      <c r="L5" s="3" t="str">
        <f>IF(D5&gt;-75,"Strong",IF(D5&gt;-90,"Moderate","Weak"))</f>
        <v>Moderate</v>
      </c>
    </row>
    <row r="6" spans="1:14" x14ac:dyDescent="0.25">
      <c r="A6" t="s">
        <v>21</v>
      </c>
      <c r="B6" t="s">
        <v>22</v>
      </c>
      <c r="C6" s="3" t="s">
        <v>13</v>
      </c>
      <c r="D6" s="3">
        <v>-70</v>
      </c>
      <c r="E6" s="3">
        <v>610</v>
      </c>
      <c r="F6" s="3">
        <v>2</v>
      </c>
      <c r="G6" s="3">
        <v>30</v>
      </c>
      <c r="H6" s="3">
        <v>99</v>
      </c>
      <c r="I6" s="3">
        <v>5</v>
      </c>
      <c r="J6" s="3">
        <v>980</v>
      </c>
      <c r="K6" s="4">
        <v>46027</v>
      </c>
      <c r="L6" s="3" t="str">
        <f>IF(D6&gt;-75,"Strong",IF(D6&gt;-90,"Moderate","Weak"))</f>
        <v>Strong</v>
      </c>
      <c r="M6" t="s">
        <v>58</v>
      </c>
      <c r="N6">
        <f>SUMIF(L:L,"Weak",E:E)</f>
        <v>470</v>
      </c>
    </row>
    <row r="7" spans="1:14" x14ac:dyDescent="0.25">
      <c r="A7" t="s">
        <v>23</v>
      </c>
      <c r="B7" t="s">
        <v>24</v>
      </c>
      <c r="C7" s="3" t="s">
        <v>16</v>
      </c>
      <c r="D7" s="3">
        <v>-88</v>
      </c>
      <c r="E7" s="3">
        <v>300</v>
      </c>
      <c r="F7" s="3">
        <v>5.0999999999999996</v>
      </c>
      <c r="G7" s="3">
        <v>70</v>
      </c>
      <c r="H7" s="3">
        <v>96.8</v>
      </c>
      <c r="I7" s="3">
        <v>25</v>
      </c>
      <c r="J7" s="3">
        <v>500</v>
      </c>
      <c r="K7" s="4">
        <v>46028</v>
      </c>
      <c r="L7" s="3" t="str">
        <f>IF(D7&gt;-75,"Strong",IF(D7&gt;-90,"Moderate","Weak"))</f>
        <v>Moderate</v>
      </c>
      <c r="M7" t="s">
        <v>59</v>
      </c>
      <c r="N7">
        <f>SUMIF(L:L,"Strong",E:E)</f>
        <v>9160</v>
      </c>
    </row>
    <row r="8" spans="1:14" x14ac:dyDescent="0.25">
      <c r="A8" t="s">
        <v>25</v>
      </c>
      <c r="B8" t="s">
        <v>12</v>
      </c>
      <c r="C8" s="3" t="s">
        <v>13</v>
      </c>
      <c r="D8" s="3">
        <v>-58</v>
      </c>
      <c r="E8" s="3">
        <v>1100</v>
      </c>
      <c r="F8" s="3">
        <v>0.5</v>
      </c>
      <c r="G8" s="3">
        <v>15</v>
      </c>
      <c r="H8" s="3">
        <v>99.9</v>
      </c>
      <c r="I8" s="3">
        <v>1</v>
      </c>
      <c r="J8" s="3">
        <v>1700</v>
      </c>
      <c r="K8" s="4">
        <v>46029</v>
      </c>
      <c r="L8" s="3" t="str">
        <f>IF(D8&gt;-75,"Strong",IF(D8&gt;-90,"Moderate","Weak"))</f>
        <v>Strong</v>
      </c>
      <c r="M8" t="s">
        <v>60</v>
      </c>
      <c r="N8">
        <f>SUMIF(L:L,"Moderate",E:E)</f>
        <v>3120</v>
      </c>
    </row>
    <row r="9" spans="1:14" x14ac:dyDescent="0.25">
      <c r="A9" t="s">
        <v>26</v>
      </c>
      <c r="B9" t="s">
        <v>15</v>
      </c>
      <c r="C9" s="3" t="s">
        <v>16</v>
      </c>
      <c r="D9" s="3">
        <v>-75</v>
      </c>
      <c r="E9" s="3">
        <v>470</v>
      </c>
      <c r="F9" s="3">
        <v>3</v>
      </c>
      <c r="G9" s="3">
        <v>40</v>
      </c>
      <c r="H9" s="3">
        <v>98.2</v>
      </c>
      <c r="I9" s="3">
        <v>12</v>
      </c>
      <c r="J9" s="3">
        <v>780</v>
      </c>
      <c r="K9" s="4">
        <v>46030</v>
      </c>
      <c r="L9" s="3" t="str">
        <f>IF(D9&gt;-75,"Strong",IF(D9&gt;-90,"Moderate","Weak"))</f>
        <v>Moderate</v>
      </c>
    </row>
    <row r="10" spans="1:14" x14ac:dyDescent="0.25">
      <c r="A10" t="s">
        <v>27</v>
      </c>
      <c r="B10" t="s">
        <v>18</v>
      </c>
      <c r="C10" s="3" t="s">
        <v>13</v>
      </c>
      <c r="D10" s="3">
        <v>-62</v>
      </c>
      <c r="E10" s="3">
        <v>980</v>
      </c>
      <c r="F10" s="3">
        <v>1</v>
      </c>
      <c r="G10" s="3">
        <v>22</v>
      </c>
      <c r="H10" s="3">
        <v>99.7</v>
      </c>
      <c r="I10" s="3">
        <v>3</v>
      </c>
      <c r="J10" s="3">
        <v>1500</v>
      </c>
      <c r="K10" s="4">
        <v>46031</v>
      </c>
      <c r="L10" s="3" t="str">
        <f>IF(D10&gt;-75,"Strong",IF(D10&gt;-90,"Moderate","Weak"))</f>
        <v>Strong</v>
      </c>
    </row>
    <row r="11" spans="1:14" x14ac:dyDescent="0.25">
      <c r="A11" t="s">
        <v>28</v>
      </c>
      <c r="B11" t="s">
        <v>20</v>
      </c>
      <c r="C11" s="3" t="s">
        <v>16</v>
      </c>
      <c r="D11" s="3">
        <v>-85</v>
      </c>
      <c r="E11" s="3">
        <v>350</v>
      </c>
      <c r="F11" s="3">
        <v>4.8</v>
      </c>
      <c r="G11" s="3">
        <v>60</v>
      </c>
      <c r="H11" s="3">
        <v>97</v>
      </c>
      <c r="I11" s="3">
        <v>20</v>
      </c>
      <c r="J11" s="3">
        <v>620</v>
      </c>
      <c r="K11" s="4">
        <v>46032</v>
      </c>
      <c r="L11" s="3" t="str">
        <f>IF(D11&gt;-75,"Strong",IF(D11&gt;-90,"Moderate","Weak"))</f>
        <v>Moderate</v>
      </c>
    </row>
    <row r="12" spans="1:14" x14ac:dyDescent="0.25">
      <c r="A12" t="s">
        <v>29</v>
      </c>
      <c r="B12" t="s">
        <v>22</v>
      </c>
      <c r="C12" s="3" t="s">
        <v>13</v>
      </c>
      <c r="D12" s="3">
        <v>-68</v>
      </c>
      <c r="E12" s="3">
        <v>720</v>
      </c>
      <c r="F12" s="3">
        <v>1.5</v>
      </c>
      <c r="G12" s="3">
        <v>28</v>
      </c>
      <c r="H12" s="3">
        <v>99.3</v>
      </c>
      <c r="I12" s="3">
        <v>4</v>
      </c>
      <c r="J12" s="3">
        <v>1050</v>
      </c>
      <c r="K12" s="4">
        <v>46033</v>
      </c>
      <c r="L12" s="3" t="str">
        <f>IF(D12&gt;-75,"Strong",IF(D12&gt;-90,"Moderate","Weak"))</f>
        <v>Strong</v>
      </c>
    </row>
    <row r="13" spans="1:14" x14ac:dyDescent="0.25">
      <c r="A13" t="s">
        <v>30</v>
      </c>
      <c r="B13" t="s">
        <v>24</v>
      </c>
      <c r="C13" s="3" t="s">
        <v>16</v>
      </c>
      <c r="D13" s="3">
        <v>-90</v>
      </c>
      <c r="E13" s="3">
        <v>250</v>
      </c>
      <c r="F13" s="3">
        <v>6</v>
      </c>
      <c r="G13" s="3">
        <v>80</v>
      </c>
      <c r="H13" s="3">
        <v>95.5</v>
      </c>
      <c r="I13" s="3">
        <v>30</v>
      </c>
      <c r="J13" s="3">
        <v>430</v>
      </c>
      <c r="K13" s="4">
        <v>46034</v>
      </c>
      <c r="L13" s="3" t="str">
        <f>IF(D13&gt;-75,"Strong",IF(D13&gt;-90,"Moderate","Weak"))</f>
        <v>Weak</v>
      </c>
    </row>
    <row r="14" spans="1:14" x14ac:dyDescent="0.25">
      <c r="A14" t="s">
        <v>31</v>
      </c>
      <c r="B14" t="s">
        <v>12</v>
      </c>
      <c r="C14" s="3" t="s">
        <v>13</v>
      </c>
      <c r="D14" s="3">
        <v>-55</v>
      </c>
      <c r="E14" s="3">
        <v>1250</v>
      </c>
      <c r="F14" s="3">
        <v>0.3</v>
      </c>
      <c r="G14" s="3">
        <v>12</v>
      </c>
      <c r="H14" s="3">
        <v>99.95</v>
      </c>
      <c r="I14" s="3">
        <v>0.5</v>
      </c>
      <c r="J14" s="3">
        <v>2000</v>
      </c>
      <c r="K14" s="4">
        <v>46035</v>
      </c>
      <c r="L14" s="3" t="str">
        <f>IF(D14&gt;-75,"Strong",IF(D14&gt;-90,"Moderate","Weak"))</f>
        <v>Strong</v>
      </c>
    </row>
    <row r="15" spans="1:14" x14ac:dyDescent="0.25">
      <c r="A15" t="s">
        <v>32</v>
      </c>
      <c r="B15" t="s">
        <v>15</v>
      </c>
      <c r="C15" s="3" t="s">
        <v>16</v>
      </c>
      <c r="D15" s="3">
        <v>-80</v>
      </c>
      <c r="E15" s="3">
        <v>410</v>
      </c>
      <c r="F15" s="3">
        <v>3.8</v>
      </c>
      <c r="G15" s="3">
        <v>50</v>
      </c>
      <c r="H15" s="3">
        <v>97.8</v>
      </c>
      <c r="I15" s="3">
        <v>15</v>
      </c>
      <c r="J15" s="3">
        <v>720</v>
      </c>
      <c r="K15" s="4">
        <v>46036</v>
      </c>
      <c r="L15" s="3" t="str">
        <f>IF(D15&gt;-75,"Strong",IF(D15&gt;-90,"Moderate","Weak"))</f>
        <v>Moderate</v>
      </c>
    </row>
    <row r="16" spans="1:14" x14ac:dyDescent="0.25">
      <c r="A16" t="s">
        <v>33</v>
      </c>
      <c r="B16" t="s">
        <v>18</v>
      </c>
      <c r="C16" s="3" t="s">
        <v>13</v>
      </c>
      <c r="D16" s="3">
        <v>-64</v>
      </c>
      <c r="E16" s="3">
        <v>870</v>
      </c>
      <c r="F16" s="3">
        <v>1.1000000000000001</v>
      </c>
      <c r="G16" s="3">
        <v>25</v>
      </c>
      <c r="H16" s="3">
        <v>99.5</v>
      </c>
      <c r="I16" s="3">
        <v>2</v>
      </c>
      <c r="J16" s="3">
        <v>1320</v>
      </c>
      <c r="K16" s="4">
        <v>46037</v>
      </c>
      <c r="L16" s="3" t="str">
        <f>IF(D16&gt;-75,"Strong",IF(D16&gt;-90,"Moderate","Weak"))</f>
        <v>Strong</v>
      </c>
    </row>
    <row r="17" spans="1:12" x14ac:dyDescent="0.25">
      <c r="A17" t="s">
        <v>34</v>
      </c>
      <c r="B17" t="s">
        <v>20</v>
      </c>
      <c r="C17" s="3" t="s">
        <v>16</v>
      </c>
      <c r="D17" s="3">
        <v>-87</v>
      </c>
      <c r="E17" s="3">
        <v>320</v>
      </c>
      <c r="F17" s="3">
        <v>5.3</v>
      </c>
      <c r="G17" s="3">
        <v>68</v>
      </c>
      <c r="H17" s="3">
        <v>96.5</v>
      </c>
      <c r="I17" s="3">
        <v>26</v>
      </c>
      <c r="J17" s="3">
        <v>540</v>
      </c>
      <c r="K17" s="4">
        <v>46038</v>
      </c>
      <c r="L17" s="3" t="str">
        <f>IF(D17&gt;-75,"Strong",IF(D17&gt;-90,"Moderate","Weak"))</f>
        <v>Moderate</v>
      </c>
    </row>
    <row r="18" spans="1:12" x14ac:dyDescent="0.25">
      <c r="A18" t="s">
        <v>35</v>
      </c>
      <c r="B18" t="s">
        <v>22</v>
      </c>
      <c r="C18" s="3" t="s">
        <v>13</v>
      </c>
      <c r="D18" s="3">
        <v>-69</v>
      </c>
      <c r="E18" s="3">
        <v>680</v>
      </c>
      <c r="F18" s="3">
        <v>1.7</v>
      </c>
      <c r="G18" s="3">
        <v>32</v>
      </c>
      <c r="H18" s="3">
        <v>99.1</v>
      </c>
      <c r="I18" s="3">
        <v>5</v>
      </c>
      <c r="J18" s="3">
        <v>990</v>
      </c>
      <c r="K18" s="4">
        <v>46039</v>
      </c>
      <c r="L18" s="3" t="str">
        <f>IF(D18&gt;-75,"Strong",IF(D18&gt;-90,"Moderate","Weak"))</f>
        <v>Strong</v>
      </c>
    </row>
    <row r="19" spans="1:12" x14ac:dyDescent="0.25">
      <c r="A19" t="s">
        <v>36</v>
      </c>
      <c r="B19" t="s">
        <v>24</v>
      </c>
      <c r="C19" s="3" t="s">
        <v>16</v>
      </c>
      <c r="D19" s="3">
        <v>-92</v>
      </c>
      <c r="E19" s="3">
        <v>220</v>
      </c>
      <c r="F19" s="3">
        <v>6.5</v>
      </c>
      <c r="G19" s="3">
        <v>90</v>
      </c>
      <c r="H19" s="3">
        <v>94.8</v>
      </c>
      <c r="I19" s="3">
        <v>35</v>
      </c>
      <c r="J19" s="3">
        <v>390</v>
      </c>
      <c r="K19" s="4">
        <v>46040</v>
      </c>
      <c r="L19" s="3" t="str">
        <f>IF(D19&gt;-75,"Strong",IF(D19&gt;-90,"Moderate","Weak"))</f>
        <v>Weak</v>
      </c>
    </row>
    <row r="20" spans="1:12" x14ac:dyDescent="0.25">
      <c r="A20" t="s">
        <v>37</v>
      </c>
      <c r="B20" t="s">
        <v>12</v>
      </c>
      <c r="C20" s="3" t="s">
        <v>13</v>
      </c>
      <c r="D20" s="3">
        <v>-57</v>
      </c>
      <c r="E20" s="3">
        <v>1180</v>
      </c>
      <c r="F20" s="3">
        <v>0.4</v>
      </c>
      <c r="G20" s="3">
        <v>14</v>
      </c>
      <c r="H20" s="3">
        <v>99.92</v>
      </c>
      <c r="I20" s="3">
        <v>1</v>
      </c>
      <c r="J20" s="3">
        <v>1850</v>
      </c>
      <c r="K20" s="4">
        <v>46041</v>
      </c>
      <c r="L20" s="3" t="str">
        <f>IF(D20&gt;-75,"Strong",IF(D20&gt;-90,"Moderate","Weak"))</f>
        <v>Strong</v>
      </c>
    </row>
    <row r="21" spans="1:12" x14ac:dyDescent="0.25">
      <c r="A21" t="s">
        <v>38</v>
      </c>
      <c r="B21" t="s">
        <v>15</v>
      </c>
      <c r="C21" s="3" t="s">
        <v>16</v>
      </c>
      <c r="D21" s="3">
        <v>-79</v>
      </c>
      <c r="E21" s="3">
        <v>450</v>
      </c>
      <c r="F21" s="3">
        <v>3.2</v>
      </c>
      <c r="G21" s="3">
        <v>42</v>
      </c>
      <c r="H21" s="3">
        <v>98.5</v>
      </c>
      <c r="I21" s="3">
        <v>11</v>
      </c>
      <c r="J21" s="3">
        <v>810</v>
      </c>
      <c r="K21" s="4">
        <v>46042</v>
      </c>
      <c r="L21" s="3" t="str">
        <f>IF(D21&gt;-75,"Strong",IF(D21&gt;-90,"Moderate","Weak"))</f>
        <v>Moderate</v>
      </c>
    </row>
  </sheetData>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containsText" priority="1" operator="containsText" id="{7CF13BEB-31FF-4046-8895-38A267693B75}">
            <xm:f>NOT(ISERROR(SEARCH($L$19,L2)))</xm:f>
            <xm:f>$L$19</xm:f>
            <x14:dxf>
              <font>
                <color rgb="FF9C0006"/>
              </font>
              <fill>
                <patternFill>
                  <bgColor rgb="FFFFC7CE"/>
                </patternFill>
              </fill>
            </x14:dxf>
          </x14:cfRule>
          <x14:cfRule type="containsText" priority="2" operator="containsText" id="{334F290A-553F-4A12-9DF1-912F8EEBE082}">
            <xm:f>NOT(ISERROR(SEARCH($L$19,L2)))</xm:f>
            <xm:f>$L$19</xm:f>
            <x14:dxf>
              <font>
                <color rgb="FF9C0006"/>
              </font>
            </x14:dxf>
          </x14:cfRule>
          <x14:cfRule type="containsText" priority="3" operator="containsText" id="{81A70683-94B8-4F5A-AAA8-8053868D5C41}">
            <xm:f>NOT(ISERROR(SEARCH($L$3,L2)))</xm:f>
            <xm:f>$L$3</xm:f>
            <x14:dxf>
              <font>
                <color rgb="FF9C5700"/>
              </font>
              <fill>
                <patternFill>
                  <bgColor rgb="FFFFEB9C"/>
                </patternFill>
              </fill>
            </x14:dxf>
          </x14:cfRule>
          <x14:cfRule type="containsText" priority="4" operator="containsText" id="{15E6849F-F872-40F6-B5CC-ED968E48229D}">
            <xm:f>NOT(ISERROR(SEARCH($L$2,L2)))</xm:f>
            <xm:f>$L$2</xm:f>
            <x14:dxf>
              <font>
                <color rgb="FF006100"/>
              </font>
              <fill>
                <patternFill>
                  <bgColor rgb="FFC6EFCE"/>
                </patternFill>
              </fill>
            </x14:dxf>
          </x14:cfRule>
          <xm:sqref>L2:L21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B00660-359C-485A-B2C9-DCC8B9029B02}">
  <sheetPr>
    <tabColor rgb="FFFF0000"/>
  </sheetPr>
  <dimension ref="B1:C4"/>
  <sheetViews>
    <sheetView showGridLines="0" workbookViewId="0">
      <selection activeCell="C2" sqref="C2"/>
    </sheetView>
  </sheetViews>
  <sheetFormatPr defaultRowHeight="15" x14ac:dyDescent="0.25"/>
  <cols>
    <col min="2" max="2" width="18.42578125" bestFit="1" customWidth="1"/>
    <col min="3" max="3" width="8.42578125" bestFit="1" customWidth="1"/>
  </cols>
  <sheetData>
    <row r="1" spans="2:3" ht="15.75" thickBot="1" x14ac:dyDescent="0.3"/>
    <row r="2" spans="2:3" ht="19.5" thickBot="1" x14ac:dyDescent="0.35">
      <c r="B2" s="36" t="s">
        <v>61</v>
      </c>
      <c r="C2" s="3" t="s">
        <v>27</v>
      </c>
    </row>
    <row r="3" spans="2:3" ht="19.5" thickBot="1" x14ac:dyDescent="0.35">
      <c r="B3" s="36" t="s">
        <v>1</v>
      </c>
      <c r="C3" t="str">
        <f>VLOOKUP(C2,'Raw Data'!A:K,2,FALSE)</f>
        <v>Kisumu</v>
      </c>
    </row>
    <row r="4" spans="2:3" ht="19.5" thickBot="1" x14ac:dyDescent="0.35">
      <c r="B4" s="36" t="s">
        <v>62</v>
      </c>
      <c r="C4" t="str">
        <f>VLOOKUP(C2,'Raw Data'!A:K,3,FALSE)</f>
        <v>5G</v>
      </c>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11C6A672-D7D5-4603-A198-5F60238395FD}">
          <x14:formula1>
            <xm:f>'Raw Data'!A2:A100</xm:f>
          </x14:formula1>
          <xm:sqref>C2</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961C9-2F0B-4E84-9F32-1D5EBAD045C2}">
  <sheetPr>
    <tabColor rgb="FF7030A0"/>
  </sheetPr>
  <dimension ref="A1:B53"/>
  <sheetViews>
    <sheetView showGridLines="0" topLeftCell="A34" workbookViewId="0">
      <selection activeCell="B54" sqref="B54"/>
    </sheetView>
  </sheetViews>
  <sheetFormatPr defaultRowHeight="15" x14ac:dyDescent="0.25"/>
  <cols>
    <col min="1" max="1" width="13.140625" bestFit="1" customWidth="1"/>
    <col min="2" max="2" width="18.42578125" bestFit="1" customWidth="1"/>
  </cols>
  <sheetData>
    <row r="1" spans="1:2" x14ac:dyDescent="0.25">
      <c r="A1" s="5" t="s">
        <v>39</v>
      </c>
      <c r="B1" t="s">
        <v>41</v>
      </c>
    </row>
    <row r="2" spans="1:2" x14ac:dyDescent="0.25">
      <c r="A2" s="6" t="s">
        <v>12</v>
      </c>
      <c r="B2" s="8">
        <v>4380</v>
      </c>
    </row>
    <row r="3" spans="1:2" x14ac:dyDescent="0.25">
      <c r="A3" s="6" t="s">
        <v>18</v>
      </c>
      <c r="B3" s="8">
        <v>2770</v>
      </c>
    </row>
    <row r="4" spans="1:2" x14ac:dyDescent="0.25">
      <c r="A4" s="6" t="s">
        <v>22</v>
      </c>
      <c r="B4" s="8">
        <v>2010</v>
      </c>
    </row>
    <row r="5" spans="1:2" x14ac:dyDescent="0.25">
      <c r="A5" s="6" t="s">
        <v>15</v>
      </c>
      <c r="B5" s="8">
        <v>1760</v>
      </c>
    </row>
    <row r="6" spans="1:2" x14ac:dyDescent="0.25">
      <c r="A6" s="6" t="s">
        <v>20</v>
      </c>
      <c r="B6" s="8">
        <v>1060</v>
      </c>
    </row>
    <row r="7" spans="1:2" x14ac:dyDescent="0.25">
      <c r="A7" s="6" t="s">
        <v>24</v>
      </c>
      <c r="B7" s="8">
        <v>770</v>
      </c>
    </row>
    <row r="8" spans="1:2" x14ac:dyDescent="0.25">
      <c r="A8" s="6" t="s">
        <v>40</v>
      </c>
      <c r="B8" s="8">
        <v>12750</v>
      </c>
    </row>
    <row r="9" spans="1:2" x14ac:dyDescent="0.25">
      <c r="A9" s="8"/>
      <c r="B9" s="8">
        <f>SUM(B2:B7)</f>
        <v>12750</v>
      </c>
    </row>
    <row r="11" spans="1:2" x14ac:dyDescent="0.25">
      <c r="A11" s="5" t="s">
        <v>39</v>
      </c>
      <c r="B11" t="s">
        <v>42</v>
      </c>
    </row>
    <row r="12" spans="1:2" x14ac:dyDescent="0.25">
      <c r="A12" s="6" t="s">
        <v>12</v>
      </c>
      <c r="B12" s="7">
        <v>-58.75</v>
      </c>
    </row>
    <row r="13" spans="1:2" x14ac:dyDescent="0.25">
      <c r="A13" s="6" t="s">
        <v>18</v>
      </c>
      <c r="B13" s="7">
        <v>-62</v>
      </c>
    </row>
    <row r="14" spans="1:2" x14ac:dyDescent="0.25">
      <c r="A14" s="6" t="s">
        <v>22</v>
      </c>
      <c r="B14" s="7">
        <v>-69</v>
      </c>
    </row>
    <row r="15" spans="1:2" x14ac:dyDescent="0.25">
      <c r="A15" s="6" t="s">
        <v>15</v>
      </c>
      <c r="B15" s="7">
        <v>-78</v>
      </c>
    </row>
    <row r="16" spans="1:2" x14ac:dyDescent="0.25">
      <c r="A16" s="6" t="s">
        <v>20</v>
      </c>
      <c r="B16" s="7">
        <v>-84.666666666666671</v>
      </c>
    </row>
    <row r="17" spans="1:2" x14ac:dyDescent="0.25">
      <c r="A17" s="6" t="s">
        <v>24</v>
      </c>
      <c r="B17" s="7">
        <v>-90</v>
      </c>
    </row>
    <row r="18" spans="1:2" x14ac:dyDescent="0.25">
      <c r="A18" s="6" t="s">
        <v>40</v>
      </c>
      <c r="B18" s="7">
        <v>-73.2</v>
      </c>
    </row>
    <row r="19" spans="1:2" x14ac:dyDescent="0.25">
      <c r="B19">
        <f>AVERAGE(B12:B17)</f>
        <v>-73.736111111111114</v>
      </c>
    </row>
    <row r="21" spans="1:2" x14ac:dyDescent="0.25">
      <c r="A21" s="5" t="s">
        <v>39</v>
      </c>
      <c r="B21" t="s">
        <v>43</v>
      </c>
    </row>
    <row r="22" spans="1:2" x14ac:dyDescent="0.25">
      <c r="A22" s="6" t="s">
        <v>12</v>
      </c>
      <c r="B22" s="7">
        <v>6750</v>
      </c>
    </row>
    <row r="23" spans="1:2" x14ac:dyDescent="0.25">
      <c r="A23" s="6" t="s">
        <v>18</v>
      </c>
      <c r="B23" s="7">
        <v>4220</v>
      </c>
    </row>
    <row r="24" spans="1:2" x14ac:dyDescent="0.25">
      <c r="A24" s="6" t="s">
        <v>15</v>
      </c>
      <c r="B24" s="7">
        <v>3160</v>
      </c>
    </row>
    <row r="25" spans="1:2" x14ac:dyDescent="0.25">
      <c r="A25" s="6" t="s">
        <v>22</v>
      </c>
      <c r="B25" s="7">
        <v>3020</v>
      </c>
    </row>
    <row r="26" spans="1:2" x14ac:dyDescent="0.25">
      <c r="A26" s="6" t="s">
        <v>20</v>
      </c>
      <c r="B26" s="7">
        <v>1860</v>
      </c>
    </row>
    <row r="27" spans="1:2" x14ac:dyDescent="0.25">
      <c r="A27" s="6" t="s">
        <v>24</v>
      </c>
      <c r="B27" s="7">
        <v>1320</v>
      </c>
    </row>
    <row r="28" spans="1:2" x14ac:dyDescent="0.25">
      <c r="A28" s="6" t="s">
        <v>40</v>
      </c>
      <c r="B28" s="7">
        <v>20330</v>
      </c>
    </row>
    <row r="29" spans="1:2" x14ac:dyDescent="0.25">
      <c r="A29" s="6"/>
      <c r="B29" s="7">
        <f>SUM(B22:B27)</f>
        <v>20330</v>
      </c>
    </row>
    <row r="31" spans="1:2" x14ac:dyDescent="0.25">
      <c r="A31" s="5" t="s">
        <v>39</v>
      </c>
      <c r="B31" t="s">
        <v>49</v>
      </c>
    </row>
    <row r="32" spans="1:2" x14ac:dyDescent="0.25">
      <c r="A32" s="6" t="s">
        <v>36</v>
      </c>
      <c r="B32" s="7">
        <v>35</v>
      </c>
    </row>
    <row r="33" spans="1:2" x14ac:dyDescent="0.25">
      <c r="A33" s="6" t="s">
        <v>30</v>
      </c>
      <c r="B33" s="7">
        <v>30</v>
      </c>
    </row>
    <row r="34" spans="1:2" x14ac:dyDescent="0.25">
      <c r="A34" s="6" t="s">
        <v>34</v>
      </c>
      <c r="B34" s="7">
        <v>26</v>
      </c>
    </row>
    <row r="35" spans="1:2" x14ac:dyDescent="0.25">
      <c r="A35" s="6" t="s">
        <v>23</v>
      </c>
      <c r="B35" s="7">
        <v>25</v>
      </c>
    </row>
    <row r="36" spans="1:2" x14ac:dyDescent="0.25">
      <c r="A36" s="6" t="s">
        <v>28</v>
      </c>
      <c r="B36" s="7">
        <v>20</v>
      </c>
    </row>
    <row r="37" spans="1:2" x14ac:dyDescent="0.25">
      <c r="A37" s="6" t="s">
        <v>19</v>
      </c>
      <c r="B37" s="7">
        <v>18</v>
      </c>
    </row>
    <row r="38" spans="1:2" x14ac:dyDescent="0.25">
      <c r="A38" s="6" t="s">
        <v>32</v>
      </c>
      <c r="B38" s="7">
        <v>15</v>
      </c>
    </row>
    <row r="39" spans="1:2" x14ac:dyDescent="0.25">
      <c r="A39" s="6" t="s">
        <v>26</v>
      </c>
      <c r="B39" s="7">
        <v>12</v>
      </c>
    </row>
    <row r="40" spans="1:2" x14ac:dyDescent="0.25">
      <c r="A40" s="6" t="s">
        <v>38</v>
      </c>
      <c r="B40" s="7">
        <v>11</v>
      </c>
    </row>
    <row r="41" spans="1:2" x14ac:dyDescent="0.25">
      <c r="A41" s="6" t="s">
        <v>14</v>
      </c>
      <c r="B41" s="7">
        <v>10</v>
      </c>
    </row>
    <row r="42" spans="1:2" x14ac:dyDescent="0.25">
      <c r="A42" s="6" t="s">
        <v>21</v>
      </c>
      <c r="B42" s="7">
        <v>5</v>
      </c>
    </row>
    <row r="43" spans="1:2" x14ac:dyDescent="0.25">
      <c r="A43" s="6" t="s">
        <v>35</v>
      </c>
      <c r="B43" s="7">
        <v>5</v>
      </c>
    </row>
    <row r="44" spans="1:2" x14ac:dyDescent="0.25">
      <c r="A44" s="6" t="s">
        <v>29</v>
      </c>
      <c r="B44" s="7">
        <v>4</v>
      </c>
    </row>
    <row r="45" spans="1:2" x14ac:dyDescent="0.25">
      <c r="A45" s="6" t="s">
        <v>27</v>
      </c>
      <c r="B45" s="7">
        <v>3</v>
      </c>
    </row>
    <row r="46" spans="1:2" x14ac:dyDescent="0.25">
      <c r="A46" s="6" t="s">
        <v>33</v>
      </c>
      <c r="B46" s="7">
        <v>2</v>
      </c>
    </row>
    <row r="47" spans="1:2" x14ac:dyDescent="0.25">
      <c r="A47" s="6" t="s">
        <v>11</v>
      </c>
      <c r="B47" s="7">
        <v>2</v>
      </c>
    </row>
    <row r="48" spans="1:2" x14ac:dyDescent="0.25">
      <c r="A48" s="6" t="s">
        <v>37</v>
      </c>
      <c r="B48" s="7">
        <v>1</v>
      </c>
    </row>
    <row r="49" spans="1:2" x14ac:dyDescent="0.25">
      <c r="A49" s="6" t="s">
        <v>25</v>
      </c>
      <c r="B49" s="7">
        <v>1</v>
      </c>
    </row>
    <row r="50" spans="1:2" x14ac:dyDescent="0.25">
      <c r="A50" s="6" t="s">
        <v>17</v>
      </c>
      <c r="B50" s="7">
        <v>1</v>
      </c>
    </row>
    <row r="51" spans="1:2" x14ac:dyDescent="0.25">
      <c r="A51" s="6" t="s">
        <v>31</v>
      </c>
      <c r="B51" s="7">
        <v>0.5</v>
      </c>
    </row>
    <row r="52" spans="1:2" x14ac:dyDescent="0.25">
      <c r="A52" s="6" t="s">
        <v>40</v>
      </c>
      <c r="B52" s="7">
        <v>11.324999999999999</v>
      </c>
    </row>
    <row r="53" spans="1:2" x14ac:dyDescent="0.25">
      <c r="B53">
        <f>AVERAGE(B32:B51)</f>
        <v>11.324999999999999</v>
      </c>
    </row>
  </sheetData>
  <conditionalFormatting pivot="1" sqref="B12:B17">
    <cfRule type="cellIs" dxfId="3" priority="4" operator="lessThan">
      <formula>-90</formula>
    </cfRule>
  </conditionalFormatting>
  <conditionalFormatting pivot="1" sqref="B12:B17">
    <cfRule type="cellIs" dxfId="2" priority="3" operator="lessThan">
      <formula>-90</formula>
    </cfRule>
  </conditionalFormatting>
  <conditionalFormatting pivot="1" sqref="B32:B51">
    <cfRule type="cellIs" dxfId="1" priority="2" operator="greaterThan">
      <formula>10</formula>
    </cfRule>
  </conditionalFormatting>
  <conditionalFormatting pivot="1" sqref="B12:B17">
    <cfRule type="cellIs" dxfId="0" priority="1" operator="lessThan">
      <formula>-90</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EF6FE4-8167-4792-AFEE-A429676E1B0F}">
  <sheetPr>
    <tabColor rgb="FFFFFF00"/>
  </sheetPr>
  <dimension ref="A1:O48"/>
  <sheetViews>
    <sheetView showGridLines="0" topLeftCell="A34" workbookViewId="0">
      <selection activeCell="F46" sqref="F46"/>
    </sheetView>
  </sheetViews>
  <sheetFormatPr defaultRowHeight="15" x14ac:dyDescent="0.25"/>
  <cols>
    <col min="1" max="1" width="9.85546875" bestFit="1" customWidth="1"/>
    <col min="2" max="2" width="12" bestFit="1" customWidth="1"/>
    <col min="5" max="5" width="9.85546875" bestFit="1" customWidth="1"/>
    <col min="6" max="6" width="19" bestFit="1" customWidth="1"/>
    <col min="9" max="9" width="9.85546875" bestFit="1" customWidth="1"/>
  </cols>
  <sheetData>
    <row r="1" spans="1:15" s="9" customFormat="1" ht="33.75" x14ac:dyDescent="0.5">
      <c r="B1" s="9" t="s">
        <v>44</v>
      </c>
    </row>
    <row r="4" spans="1:15" ht="15.75" thickBot="1" x14ac:dyDescent="0.3"/>
    <row r="5" spans="1:15" ht="23.25" x14ac:dyDescent="0.35">
      <c r="A5" s="12" t="s">
        <v>45</v>
      </c>
      <c r="B5" s="13"/>
      <c r="C5" s="14"/>
      <c r="E5" s="18" t="s">
        <v>46</v>
      </c>
      <c r="F5" s="19"/>
      <c r="G5" s="20"/>
      <c r="I5" s="24" t="s">
        <v>47</v>
      </c>
      <c r="J5" s="25"/>
      <c r="K5" s="26"/>
      <c r="M5" s="30" t="s">
        <v>48</v>
      </c>
      <c r="N5" s="31"/>
      <c r="O5" s="32"/>
    </row>
    <row r="6" spans="1:15" ht="24" thickBot="1" x14ac:dyDescent="0.4">
      <c r="A6" s="15">
        <f>'Pivot Analysis'!B29</f>
        <v>20330</v>
      </c>
      <c r="B6" s="16"/>
      <c r="C6" s="17"/>
      <c r="E6" s="21">
        <f>'Pivot Analysis'!B9</f>
        <v>12750</v>
      </c>
      <c r="F6" s="22" t="s">
        <v>51</v>
      </c>
      <c r="G6" s="23"/>
      <c r="I6" s="27">
        <f>'Pivot Analysis'!B19</f>
        <v>-73.736111111111114</v>
      </c>
      <c r="J6" s="28" t="s">
        <v>52</v>
      </c>
      <c r="K6" s="29"/>
      <c r="M6" s="33">
        <f>'Pivot Analysis'!B53</f>
        <v>11.324999999999999</v>
      </c>
      <c r="N6" s="34" t="s">
        <v>50</v>
      </c>
      <c r="O6" s="35"/>
    </row>
    <row r="19" s="11" customFormat="1" ht="23.25" x14ac:dyDescent="0.35"/>
    <row r="44" spans="2:3" x14ac:dyDescent="0.25">
      <c r="B44" s="10" t="s">
        <v>53</v>
      </c>
      <c r="C44" s="10"/>
    </row>
    <row r="45" spans="2:3" x14ac:dyDescent="0.25">
      <c r="B45" t="s">
        <v>63</v>
      </c>
    </row>
    <row r="46" spans="2:3" x14ac:dyDescent="0.25">
      <c r="B46" t="s">
        <v>64</v>
      </c>
    </row>
    <row r="47" spans="2:3" x14ac:dyDescent="0.25">
      <c r="B47" t="s">
        <v>65</v>
      </c>
    </row>
    <row r="48" spans="2:3" x14ac:dyDescent="0.25">
      <c r="B48" t="s">
        <v>66</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 Data</vt:lpstr>
      <vt:lpstr>Tower Search</vt:lpstr>
      <vt:lpstr>Pivot 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Lude Kig</dc:creator>
  <cp:lastModifiedBy>Lude Kig</cp:lastModifiedBy>
  <dcterms:created xsi:type="dcterms:W3CDTF">2026-06-25T18:29:12Z</dcterms:created>
  <dcterms:modified xsi:type="dcterms:W3CDTF">2026-06-30T20:29:37Z</dcterms:modified>
</cp:coreProperties>
</file>